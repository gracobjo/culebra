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2" activeTab="0" autoFilterDateGrouping="1"/>
  </bookViews>
  <sheets>
    <sheet xmlns:r="http://schemas.openxmlformats.org/officeDocument/2006/relationships" name="00_KPI_Dashboard" sheetId="1" state="visible" r:id="rId1"/>
    <sheet xmlns:r="http://schemas.openxmlformats.org/officeDocument/2006/relationships" name="KPI_Datos" sheetId="2" state="visible" r:id="rId2"/>
    <sheet xmlns:r="http://schemas.openxmlformats.org/officeDocument/2006/relationships" name="PyG Realista" sheetId="3" state="visible" r:id="rId3"/>
    <sheet xmlns:r="http://schemas.openxmlformats.org/officeDocument/2006/relationships" name="PyG Optimista" sheetId="4" state="visible" r:id="rId4"/>
    <sheet xmlns:r="http://schemas.openxmlformats.org/officeDocument/2006/relationships" name="PyG Conservador" sheetId="5" state="visible" r:id="rId5"/>
    <sheet xmlns:r="http://schemas.openxmlformats.org/officeDocument/2006/relationships" name="Parámetros" sheetId="6" state="visible" r:id="rId6"/>
    <sheet xmlns:r="http://schemas.openxmlformats.org/officeDocument/2006/relationships" name="Drivers y equilibrio" sheetId="7" state="visible" r:id="rId7"/>
    <sheet xmlns:r="http://schemas.openxmlformats.org/officeDocument/2006/relationships" name="Escenarios 3 vías" sheetId="8" state="visible" r:id="rId8"/>
    <sheet xmlns:r="http://schemas.openxmlformats.org/officeDocument/2006/relationships" name="Resumen anual" sheetId="9" state="visible" r:id="rId9"/>
    <sheet xmlns:r="http://schemas.openxmlformats.org/officeDocument/2006/relationships" name="Partidas contables" sheetId="10" state="visible" r:id="rId10"/>
    <sheet xmlns:r="http://schemas.openxmlformats.org/officeDocument/2006/relationships" name="Notas y control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\ \€"/>
  </numFmts>
  <fonts count="15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2F5233"/>
      <sz val="11"/>
    </font>
    <font>
      <name val="Calibri"/>
      <b val="1"/>
      <color rgb="FF2F5233"/>
      <sz val="13"/>
    </font>
    <font>
      <name val="Calibri"/>
      <b val="1"/>
      <color rgb="FF2F5233"/>
      <sz val="12"/>
    </font>
    <font>
      <b val="1"/>
      <color rgb="002F5233"/>
    </font>
    <font>
      <b val="1"/>
      <color rgb="00FFFFFF"/>
    </font>
    <font>
      <b val="1"/>
      <color rgb="002F5233"/>
      <sz val="13"/>
    </font>
    <font>
      <b val="1"/>
    </font>
    <font>
      <b val="1"/>
      <color rgb="002F5233"/>
      <sz val="12"/>
    </font>
    <font>
      <b val="1"/>
      <color rgb="002F5233"/>
      <sz val="14"/>
    </font>
    <font>
      <b val="1"/>
      <sz val="12"/>
    </font>
    <font/>
    <font>
      <i val="1"/>
      <color rgb="00666666"/>
      <sz val="9"/>
    </font>
  </fonts>
  <fills count="11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2F5233"/>
      </patternFill>
    </fill>
    <fill>
      <patternFill patternType="solid">
        <fgColor rgb="FFF8D7DA"/>
      </patternFill>
    </fill>
    <fill>
      <patternFill patternType="solid">
        <fgColor rgb="FFFFF3CD"/>
      </patternFill>
    </fill>
    <fill>
      <patternFill patternType="solid">
        <fgColor rgb="FFD4EDDA"/>
      </patternFill>
    </fill>
    <fill>
      <patternFill patternType="solid">
        <fgColor rgb="002F5233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D4EDDA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0" fontId="0" fillId="0" borderId="0" applyAlignment="1" pivotButton="0" quotePrefix="0" xfId="0">
      <alignment vertical="top" wrapText="1"/>
    </xf>
    <xf numFmtId="4" fontId="0" fillId="0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0" fillId="4" borderId="0" pivotButton="0" quotePrefix="0" xfId="0"/>
    <xf numFmtId="4" fontId="0" fillId="4" borderId="0" pivotButton="0" quotePrefix="0" xfId="0"/>
    <xf numFmtId="0" fontId="0" fillId="5" borderId="0" pivotButton="0" quotePrefix="0" xfId="0"/>
    <xf numFmtId="4" fontId="0" fillId="5" borderId="0" pivotButton="0" quotePrefix="0" xfId="0"/>
    <xf numFmtId="0" fontId="0" fillId="6" borderId="0" pivotButton="0" quotePrefix="0" xfId="0"/>
    <xf numFmtId="4" fontId="0" fillId="6" borderId="0" pivotButton="0" quotePrefix="0" xfId="0"/>
    <xf numFmtId="4" fontId="1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4" fontId="1" fillId="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4" fontId="1" fillId="4" borderId="0" applyAlignment="1" pivotButton="0" quotePrefix="0" xfId="0">
      <alignment horizontal="center" vertical="center" wrapText="1"/>
    </xf>
    <xf numFmtId="0" fontId="2" fillId="4" borderId="0" pivotButton="0" quotePrefix="0" xfId="0"/>
    <xf numFmtId="10" fontId="1" fillId="3" borderId="0" applyAlignment="1" pivotButton="0" quotePrefix="0" xfId="0">
      <alignment horizontal="center" vertical="center" wrapText="1"/>
    </xf>
    <xf numFmtId="10" fontId="0" fillId="4" borderId="0" pivotButton="0" quotePrefix="0" xfId="0"/>
    <xf numFmtId="4" fontId="0" fillId="4" borderId="0" applyAlignment="1" pivotButton="0" quotePrefix="0" xfId="0">
      <alignment wrapText="1"/>
    </xf>
    <xf numFmtId="0" fontId="2" fillId="5" borderId="0" pivotButton="0" quotePrefix="0" xfId="0"/>
    <xf numFmtId="10" fontId="0" fillId="5" borderId="0" pivotButton="0" quotePrefix="0" xfId="0"/>
    <xf numFmtId="0" fontId="2" fillId="6" borderId="0" pivotButton="0" quotePrefix="0" xfId="0"/>
    <xf numFmtId="10" fontId="0" fillId="6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0" borderId="0" pivotButton="0" quotePrefix="0" xfId="0"/>
    <xf numFmtId="0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horizontal="center" vertical="center" wrapText="1"/>
    </xf>
    <xf numFmtId="0" fontId="11" fillId="0" borderId="0" pivotButton="0" quotePrefix="0" xfId="0"/>
    <xf numFmtId="0" fontId="9" fillId="0" borderId="0" pivotButton="0" quotePrefix="0" xfId="0"/>
    <xf numFmtId="0" fontId="7" fillId="7" borderId="0" applyAlignment="1" pivotButton="0" quotePrefix="0" xfId="0">
      <alignment horizontal="center" vertical="center" wrapText="1"/>
    </xf>
    <xf numFmtId="4" fontId="12" fillId="0" borderId="0" pivotButton="0" quotePrefix="0" xfId="0"/>
    <xf numFmtId="10" fontId="12" fillId="0" borderId="0" pivotButton="0" quotePrefix="0" xfId="0"/>
    <xf numFmtId="0" fontId="6" fillId="0" borderId="0" pivotButton="0" quotePrefix="0" xfId="0"/>
    <xf numFmtId="0" fontId="6" fillId="0" borderId="2" applyAlignment="1" pivotButton="0" quotePrefix="0" xfId="0">
      <alignment horizontal="center" vertical="center" wrapText="1"/>
    </xf>
    <xf numFmtId="4" fontId="7" fillId="7" borderId="0" applyAlignment="1" pivotButton="0" quotePrefix="0" xfId="0">
      <alignment horizontal="center" vertical="center" wrapText="1"/>
    </xf>
    <xf numFmtId="0" fontId="8" fillId="0" borderId="0" pivotButton="0" quotePrefix="0" xfId="0"/>
    <xf numFmtId="0" fontId="10" fillId="0" borderId="0" pivotButton="0" quotePrefix="0" xfId="0"/>
    <xf numFmtId="0" fontId="1" fillId="8" borderId="0" applyAlignment="1" pivotButton="0" quotePrefix="0" xfId="0">
      <alignment horizontal="center" vertical="center" wrapText="1"/>
    </xf>
    <xf numFmtId="4" fontId="1" fillId="8" borderId="0" applyAlignment="1" pivotButton="0" quotePrefix="0" xfId="0">
      <alignment horizontal="center" vertical="center" wrapText="1"/>
    </xf>
    <xf numFmtId="0" fontId="0" fillId="8" borderId="0" pivotButton="0" quotePrefix="0" xfId="0"/>
    <xf numFmtId="4" fontId="0" fillId="8" borderId="0" pivotButton="0" quotePrefix="0" xfId="0"/>
    <xf numFmtId="0" fontId="0" fillId="9" borderId="0" pivotButton="0" quotePrefix="0" xfId="0"/>
    <xf numFmtId="4" fontId="0" fillId="9" borderId="0" pivotButton="0" quotePrefix="0" xfId="0"/>
    <xf numFmtId="0" fontId="0" fillId="10" borderId="0" pivotButton="0" quotePrefix="0" xfId="0"/>
    <xf numFmtId="4" fontId="0" fillId="10" borderId="0" pivotButton="0" quotePrefix="0" xfId="0"/>
    <xf numFmtId="0" fontId="8" fillId="0" borderId="0" applyAlignment="1" pivotButton="0" quotePrefix="0" xfId="0">
      <alignment horizontal="center" vertical="center" wrapText="1"/>
    </xf>
    <xf numFmtId="0" fontId="9" fillId="8" borderId="0" pivotButton="0" quotePrefix="0" xfId="0"/>
    <xf numFmtId="10" fontId="7" fillId="7" borderId="0" applyAlignment="1" pivotButton="0" quotePrefix="0" xfId="0">
      <alignment horizontal="center" vertical="center" wrapText="1"/>
    </xf>
    <xf numFmtId="10" fontId="0" fillId="8" borderId="0" pivotButton="0" quotePrefix="0" xfId="0"/>
    <xf numFmtId="4" fontId="0" fillId="8" borderId="0" applyAlignment="1" pivotButton="0" quotePrefix="0" xfId="0">
      <alignment wrapText="1"/>
    </xf>
    <xf numFmtId="0" fontId="9" fillId="9" borderId="0" pivotButton="0" quotePrefix="0" xfId="0"/>
    <xf numFmtId="10" fontId="0" fillId="9" borderId="0" pivotButton="0" quotePrefix="0" xfId="0"/>
    <xf numFmtId="0" fontId="9" fillId="10" borderId="0" pivotButton="0" quotePrefix="0" xfId="0"/>
    <xf numFmtId="10" fontId="0" fillId="10" borderId="0" pivotButton="0" quotePrefix="0" xfId="0"/>
    <xf numFmtId="0" fontId="13" fillId="0" borderId="0" pivotButton="0" quotePrefix="0" xfId="0"/>
    <xf numFmtId="0" fontId="7" fillId="7" borderId="0" applyAlignment="1" pivotButton="0" quotePrefix="0" xfId="0">
      <alignment horizontal="center" wrapText="1"/>
    </xf>
    <xf numFmtId="0" fontId="14" fillId="0" borderId="0" pivotButton="0" quotePrefix="0" xfId="0"/>
    <xf numFmtId="1" fontId="0" fillId="0" borderId="0" pivotButton="0" quotePrefix="0" xfId="0"/>
    <xf numFmtId="0" fontId="13" fillId="0" borderId="0" applyAlignment="1" pivotButton="0" quotePrefix="0" xfId="0">
      <alignment horizontal="center" vertical="center" wrapText="1"/>
    </xf>
    <xf numFmtId="4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1. GMV vs Ingresos comisión (Conservador)</a:t>
            </a:r>
          </a:p>
        </rich>
      </tx>
    </title>
    <plotArea>
      <lineChart>
        <grouping val="standard"/>
        <ser>
          <idx val="0"/>
          <order val="0"/>
          <tx>
            <strRef>
              <f>'KPI_Datos'!B4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'KPI_Datos'!$A$5:$A$9</f>
            </numRef>
          </cat>
          <val>
            <numRef>
              <f>'KPI_Datos'!$B$5:$B$9</f>
            </numRef>
          </val>
        </ser>
        <ser>
          <idx val="1"/>
          <order val="1"/>
          <tx>
            <strRef>
              <f>'KPI_Datos'!C4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'KPI_Datos'!$A$5:$A$9</f>
            </numRef>
          </cat>
          <val>
            <numRef>
              <f>'KPI_Datos'!$C$5:$C$9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Año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€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2. Resultado neto anual (Conservador)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'KPI_Datos'!E4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'KPI_Datos'!$A$5:$A$9</f>
            </numRef>
          </cat>
          <val>
            <numRef>
              <f>'KPI_Datos'!$E$5:$E$9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€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3. GMV por escenario (C / R / O)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'KPI_Datos'!B13</f>
            </strRef>
          </tx>
          <spPr>
            <a:ln xmlns:a="http://schemas.openxmlformats.org/drawingml/2006/main">
              <a:prstDash val="solid"/>
            </a:ln>
          </spPr>
          <cat>
            <numRef>
              <f>'KPI_Datos'!$A$14:$A$18</f>
            </numRef>
          </cat>
          <val>
            <numRef>
              <f>'KPI_Datos'!$B$14:$B$18</f>
            </numRef>
          </val>
        </ser>
        <ser>
          <idx val="1"/>
          <order val="1"/>
          <tx>
            <strRef>
              <f>'KPI_Datos'!C13</f>
            </strRef>
          </tx>
          <spPr>
            <a:ln xmlns:a="http://schemas.openxmlformats.org/drawingml/2006/main">
              <a:prstDash val="solid"/>
            </a:ln>
          </spPr>
          <cat>
            <numRef>
              <f>'KPI_Datos'!$A$14:$A$18</f>
            </numRef>
          </cat>
          <val>
            <numRef>
              <f>'KPI_Datos'!$C$14:$C$18</f>
            </numRef>
          </val>
        </ser>
        <ser>
          <idx val="2"/>
          <order val="2"/>
          <tx>
            <strRef>
              <f>'KPI_Datos'!D13</f>
            </strRef>
          </tx>
          <spPr>
            <a:ln xmlns:a="http://schemas.openxmlformats.org/drawingml/2006/main">
              <a:prstDash val="solid"/>
            </a:ln>
          </spPr>
          <cat>
            <numRef>
              <f>'KPI_Datos'!$A$14:$A$18</f>
            </numRef>
          </cat>
          <val>
            <numRef>
              <f>'KPI_Datos'!$D$14:$D$18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4. Resultado neto por escenario</a:t>
            </a:r>
          </a:p>
        </rich>
      </tx>
    </title>
    <plotArea>
      <lineChart>
        <grouping val="standard"/>
        <ser>
          <idx val="0"/>
          <order val="0"/>
          <tx>
            <strRef>
              <f>'KPI_Datos'!B22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'KPI_Datos'!$A$23:$A$27</f>
            </numRef>
          </cat>
          <val>
            <numRef>
              <f>'KPI_Datos'!$B$23:$B$27</f>
            </numRef>
          </val>
        </ser>
        <ser>
          <idx val="1"/>
          <order val="1"/>
          <tx>
            <strRef>
              <f>'KPI_Datos'!C22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'KPI_Datos'!$A$23:$A$27</f>
            </numRef>
          </cat>
          <val>
            <numRef>
              <f>'KPI_Datos'!$C$23:$C$27</f>
            </numRef>
          </val>
        </ser>
        <ser>
          <idx val="2"/>
          <order val="2"/>
          <tx>
            <strRef>
              <f>'KPI_Datos'!D22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'KPI_Datos'!$A$23:$A$27</f>
            </numRef>
          </cat>
          <val>
            <numRef>
              <f>'KPI_Datos'!$D$23:$D$27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5. Estacionalidad GMV Año 2 (Conservador)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'KPI_Datos'!B31</f>
            </strRef>
          </tx>
          <spPr>
            <a:ln xmlns:a="http://schemas.openxmlformats.org/drawingml/2006/main">
              <a:prstDash val="solid"/>
            </a:ln>
          </spPr>
          <cat>
            <numRef>
              <f>'KPI_Datos'!$A$32:$A$43</f>
            </numRef>
          </cat>
          <val>
            <numRef>
              <f>'KPI_Datos'!$B$32:$B$43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6. Estructura de gastos Año 3 (Conservador)</a:t>
            </a:r>
          </a:p>
        </rich>
      </tx>
    </title>
    <plotArea>
      <pieChart>
        <varyColors val="1"/>
        <ser>
          <idx val="0"/>
          <order val="0"/>
          <tx>
            <strRef>
              <f>'KPI_Datos'!B47</f>
            </strRef>
          </tx>
          <spPr>
            <a:ln xmlns:a="http://schemas.openxmlformats.org/drawingml/2006/main">
              <a:prstDash val="solid"/>
            </a:ln>
          </spPr>
          <cat>
            <numRef>
              <f>'KPI_Datos'!$A$48:$A$59</f>
            </numRef>
          </cat>
          <val>
            <numRef>
              <f>'KPI_Datos'!$B$48:$B$59</f>
            </numRef>
          </val>
        </ser>
        <dLbls>
          <showVal val="0"/>
          <showCat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7</row>
      <rowOff>0</rowOff>
    </from>
    <ext cx="432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24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8</col>
      <colOff>0</colOff>
      <row>24</row>
      <rowOff>0</rowOff>
    </from>
    <ext cx="54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41</row>
      <rowOff>0</rowOff>
    </from>
    <ext cx="648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8</col>
      <colOff>0</colOff>
      <row>41</row>
      <rowOff>0</rowOff>
    </from>
    <ext cx="5040000" cy="432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cols>
    <col width="14" customWidth="1" style="32" min="1" max="1"/>
    <col width="14" customWidth="1" style="32" min="2" max="2"/>
    <col width="14" customWidth="1" style="32" min="3" max="3"/>
    <col width="14" customWidth="1" style="32" min="4" max="4"/>
    <col width="14" customWidth="1" style="32" min="5" max="5"/>
    <col width="14" customWidth="1" style="32" min="6" max="6"/>
    <col width="14" customWidth="1" style="32" min="7" max="7"/>
    <col width="14" customWidth="1" style="32" min="8" max="8"/>
    <col width="14" customWidth="1" style="32" min="9" max="9"/>
    <col width="14" customWidth="1" style="32" min="10" max="10"/>
    <col width="14" customWidth="1" style="32" min="11" max="11"/>
    <col width="14" customWidth="1" style="32" min="12" max="12"/>
  </cols>
  <sheetData>
    <row r="1">
      <c r="A1" s="36" t="inlineStr">
        <is>
          <t>DASHBOARD KPI MARKETPLACE — Escenario Conservador (gráficos dinámicos)</t>
        </is>
      </c>
    </row>
    <row r="2" ht="32" customHeight="1" s="32">
      <c r="A2" s="34" t="inlineStr">
        <is>
          <t>Los gráficos leen KPI_Datos. Si modificas PyG Conservador, recalcula Excel (F9) y los gráficos se actualizan. GMV ≠ ingreso SL (ingreso = 15% comisión).</t>
        </is>
      </c>
    </row>
    <row r="4">
      <c r="A4" s="37" t="inlineStr">
        <is>
          <t>KPIs clave (vinculados)</t>
        </is>
      </c>
    </row>
    <row r="5">
      <c r="A5" s="38" t="inlineStr">
        <is>
          <t>GMV Y3</t>
        </is>
      </c>
      <c r="B5" s="38" t="inlineStr">
        <is>
          <t>Ingresos Y3</t>
        </is>
      </c>
      <c r="C5" s="38" t="inlineStr">
        <is>
          <t>Neto Y3</t>
        </is>
      </c>
      <c r="D5" s="38" t="inlineStr">
        <is>
          <t>Margen Y3</t>
        </is>
      </c>
      <c r="E5" s="38" t="inlineStr">
        <is>
          <t>Take rate</t>
        </is>
      </c>
      <c r="F5" s="38" t="inlineStr">
        <is>
          <t>Cobertura gastos Y3</t>
        </is>
      </c>
    </row>
    <row r="6">
      <c r="A6" s="39">
        <f>KPI_Datos!B7</f>
        <v/>
      </c>
      <c r="B6" s="39">
        <f>KPI_Datos!C7</f>
        <v/>
      </c>
      <c r="C6" s="39">
        <f>KPI_Datos!E7</f>
        <v/>
      </c>
      <c r="D6" s="40">
        <f>KPI_Datos!F7</f>
        <v/>
      </c>
      <c r="E6" s="40">
        <f>KPI_Datos!G7</f>
        <v/>
      </c>
      <c r="F6" s="40">
        <f>KPI_Datos!H7</f>
        <v/>
      </c>
    </row>
    <row r="58">
      <c r="A58" s="37" t="inlineStr">
        <is>
          <t>Leyenda de KPIs utilizados</t>
        </is>
      </c>
    </row>
    <row r="59">
      <c r="A59" t="inlineStr">
        <is>
          <t>GMV: volumen de ventas de vendedores (actividad; no es facturación propia de la SL).</t>
        </is>
      </c>
    </row>
    <row r="60">
      <c r="A60" t="inlineStr">
        <is>
          <t>Ingresos: comisión 15% sobre GMV (ingreso de la SL).</t>
        </is>
      </c>
    </row>
    <row r="61">
      <c r="A61" t="inlineStr">
        <is>
          <t>Take rate: Ingresos / GMV (debe ser ~15%).</t>
        </is>
      </c>
    </row>
    <row r="62">
      <c r="A62" t="inlineStr">
        <is>
          <t>Cobertura de gastos: Ingresos / Gastos (&gt;100% = ingresos cubren gastos).</t>
        </is>
      </c>
    </row>
    <row r="63">
      <c r="A63" t="inlineStr">
        <is>
          <t>Margen neto: Resultado neto / Ingresos.</t>
        </is>
      </c>
    </row>
    <row r="64">
      <c r="A64" t="inlineStr">
        <is>
          <t>Estacionalidad: refleja pico turístico estival (alineado a EOTR Zamora).</t>
        </is>
      </c>
    </row>
    <row r="65">
      <c r="A65" t="inlineStr">
        <is>
          <t>Escenarios C/R/O: Conservador = referencia; Realista/Optimista = sensibilidad.</t>
        </is>
      </c>
    </row>
  </sheetData>
  <mergeCells count="9">
    <mergeCell ref="A2:L2"/>
    <mergeCell ref="A64:L64"/>
    <mergeCell ref="A60:L60"/>
    <mergeCell ref="A63:L63"/>
    <mergeCell ref="A65:L65"/>
    <mergeCell ref="A1:L1"/>
    <mergeCell ref="A61:L61"/>
    <mergeCell ref="A59:L59"/>
    <mergeCell ref="A62:L6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cols>
    <col width="22" customWidth="1" style="32" min="1" max="1"/>
    <col width="14" customWidth="1" style="32" min="2" max="2"/>
    <col width="14" customWidth="1" style="32" min="3" max="3"/>
    <col width="14" customWidth="1" style="32" min="4" max="4"/>
    <col width="14" customWidth="1" style="32" min="5" max="5"/>
    <col width="12" customWidth="1" style="32" min="6" max="6"/>
    <col width="12" customWidth="1" style="32" min="7" max="7"/>
    <col width="14" customWidth="1" style="32" min="8" max="8"/>
    <col width="3" customWidth="1" style="32" min="9" max="9"/>
    <col width="24" customWidth="1" style="32" min="10" max="10"/>
    <col width="14" customWidth="1" style="32" min="11" max="11"/>
  </cols>
  <sheetData>
    <row r="1">
      <c r="A1" s="41" t="inlineStr">
        <is>
          <t>Tablas KPI (no borrar: alimentan los gráficos del Dashboard)</t>
        </is>
      </c>
    </row>
    <row r="3">
      <c r="A3" s="37" t="inlineStr">
        <is>
          <t>A. Evolución anual — Conservador (fórmulas dinámicas)</t>
        </is>
      </c>
      <c r="J3" s="37" t="inlineStr">
        <is>
          <t>F. Tarjetas KPI (Conservador)</t>
        </is>
      </c>
    </row>
    <row r="4">
      <c r="A4" s="38" t="inlineStr">
        <is>
          <t>Año</t>
        </is>
      </c>
      <c r="B4" s="38" t="inlineStr">
        <is>
          <t>GMV</t>
        </is>
      </c>
      <c r="C4" s="38" t="inlineStr">
        <is>
          <t>Ingresos</t>
        </is>
      </c>
      <c r="D4" s="38" t="inlineStr">
        <is>
          <t>Gastos</t>
        </is>
      </c>
      <c r="E4" s="38" t="inlineStr">
        <is>
          <t>Neto</t>
        </is>
      </c>
      <c r="F4" s="38" t="inlineStr">
        <is>
          <t>Margen neto</t>
        </is>
      </c>
      <c r="G4" s="38" t="inlineStr">
        <is>
          <t>Take rate</t>
        </is>
      </c>
      <c r="H4" s="38" t="inlineStr">
        <is>
          <t>Cobertura gastos</t>
        </is>
      </c>
      <c r="J4" s="38" t="inlineStr">
        <is>
          <t>KPI</t>
        </is>
      </c>
      <c r="K4" s="38" t="inlineStr">
        <is>
          <t>Valor</t>
        </is>
      </c>
    </row>
    <row r="5">
      <c r="A5" t="n">
        <v>1</v>
      </c>
      <c r="B5" s="5">
        <f>SUMIF('PyG Conservador'!$A:$A,A5,'PyG Conservador'!$C:$C)</f>
        <v/>
      </c>
      <c r="C5" s="5">
        <f>SUMIF('PyG Conservador'!$A:$A,A5,'PyG Conservador'!$D:$D)</f>
        <v/>
      </c>
      <c r="D5" s="5">
        <f>SUMIF('PyG Conservador'!$A:$A,A5,'PyG Conservador'!$Q:$Q)</f>
        <v/>
      </c>
      <c r="E5" s="5">
        <f>SUMIF('PyG Conservador'!$A:$A,A5,'PyG Conservador'!$T:$T)</f>
        <v/>
      </c>
      <c r="F5" s="3">
        <f>IF(C5=0,0,E5/C5)</f>
        <v/>
      </c>
      <c r="G5" s="3">
        <f>IF(B5=0,0,C5/B5)</f>
        <v/>
      </c>
      <c r="H5" s="3">
        <f>IF(D5=0,0,C5/D5)</f>
        <v/>
      </c>
      <c r="J5" t="inlineStr">
        <is>
          <t>GMV Y3</t>
        </is>
      </c>
      <c r="K5" s="5">
        <f>B7</f>
        <v/>
      </c>
    </row>
    <row r="6">
      <c r="A6" t="n">
        <v>2</v>
      </c>
      <c r="B6" s="5">
        <f>SUMIF('PyG Conservador'!$A:$A,A6,'PyG Conservador'!$C:$C)</f>
        <v/>
      </c>
      <c r="C6" s="5">
        <f>SUMIF('PyG Conservador'!$A:$A,A6,'PyG Conservador'!$D:$D)</f>
        <v/>
      </c>
      <c r="D6" s="5">
        <f>SUMIF('PyG Conservador'!$A:$A,A6,'PyG Conservador'!$Q:$Q)</f>
        <v/>
      </c>
      <c r="E6" s="5">
        <f>SUMIF('PyG Conservador'!$A:$A,A6,'PyG Conservador'!$T:$T)</f>
        <v/>
      </c>
      <c r="F6" s="3">
        <f>IF(C6=0,0,E6/C6)</f>
        <v/>
      </c>
      <c r="G6" s="3">
        <f>IF(B6=0,0,C6/B6)</f>
        <v/>
      </c>
      <c r="H6" s="3">
        <f>IF(D6=0,0,C6/D6)</f>
        <v/>
      </c>
      <c r="J6" t="inlineStr">
        <is>
          <t>Ingresos Y3</t>
        </is>
      </c>
      <c r="K6" s="5">
        <f>C7</f>
        <v/>
      </c>
    </row>
    <row r="7">
      <c r="A7" t="n">
        <v>3</v>
      </c>
      <c r="B7" s="5">
        <f>SUMIF('PyG Conservador'!$A:$A,A7,'PyG Conservador'!$C:$C)</f>
        <v/>
      </c>
      <c r="C7" s="5">
        <f>SUMIF('PyG Conservador'!$A:$A,A7,'PyG Conservador'!$D:$D)</f>
        <v/>
      </c>
      <c r="D7" s="5">
        <f>SUMIF('PyG Conservador'!$A:$A,A7,'PyG Conservador'!$Q:$Q)</f>
        <v/>
      </c>
      <c r="E7" s="5">
        <f>SUMIF('PyG Conservador'!$A:$A,A7,'PyG Conservador'!$T:$T)</f>
        <v/>
      </c>
      <c r="F7" s="3">
        <f>IF(C7=0,0,E7/C7)</f>
        <v/>
      </c>
      <c r="G7" s="3">
        <f>IF(B7=0,0,C7/B7)</f>
        <v/>
      </c>
      <c r="H7" s="3">
        <f>IF(D7=0,0,C7/D7)</f>
        <v/>
      </c>
      <c r="J7" t="inlineStr">
        <is>
          <t>Neto Y3</t>
        </is>
      </c>
      <c r="K7" s="5">
        <f>E7</f>
        <v/>
      </c>
    </row>
    <row r="8">
      <c r="A8" t="n">
        <v>4</v>
      </c>
      <c r="B8" s="5">
        <f>SUMIF('PyG Conservador'!$A:$A,A8,'PyG Conservador'!$C:$C)</f>
        <v/>
      </c>
      <c r="C8" s="5">
        <f>SUMIF('PyG Conservador'!$A:$A,A8,'PyG Conservador'!$D:$D)</f>
        <v/>
      </c>
      <c r="D8" s="5">
        <f>SUMIF('PyG Conservador'!$A:$A,A8,'PyG Conservador'!$Q:$Q)</f>
        <v/>
      </c>
      <c r="E8" s="5">
        <f>SUMIF('PyG Conservador'!$A:$A,A8,'PyG Conservador'!$T:$T)</f>
        <v/>
      </c>
      <c r="F8" s="3">
        <f>IF(C8=0,0,E8/C8)</f>
        <v/>
      </c>
      <c r="G8" s="3">
        <f>IF(B8=0,0,C8/B8)</f>
        <v/>
      </c>
      <c r="H8" s="3">
        <f>IF(D8=0,0,C8/D8)</f>
        <v/>
      </c>
      <c r="J8" t="inlineStr">
        <is>
          <t>Margen neto Y3</t>
        </is>
      </c>
      <c r="K8" s="3">
        <f>F7</f>
        <v/>
      </c>
    </row>
    <row r="9">
      <c r="A9" t="n">
        <v>5</v>
      </c>
      <c r="B9" s="5">
        <f>SUMIF('PyG Conservador'!$A:$A,A9,'PyG Conservador'!$C:$C)</f>
        <v/>
      </c>
      <c r="C9" s="5">
        <f>SUMIF('PyG Conservador'!$A:$A,A9,'PyG Conservador'!$D:$D)</f>
        <v/>
      </c>
      <c r="D9" s="5">
        <f>SUMIF('PyG Conservador'!$A:$A,A9,'PyG Conservador'!$Q:$Q)</f>
        <v/>
      </c>
      <c r="E9" s="5">
        <f>SUMIF('PyG Conservador'!$A:$A,A9,'PyG Conservador'!$T:$T)</f>
        <v/>
      </c>
      <c r="F9" s="3">
        <f>IF(C9=0,0,E9/C9)</f>
        <v/>
      </c>
      <c r="G9" s="3">
        <f>IF(B9=0,0,C9/B9)</f>
        <v/>
      </c>
      <c r="H9" s="3">
        <f>IF(D9=0,0,C9/D9)</f>
        <v/>
      </c>
      <c r="J9" t="inlineStr">
        <is>
          <t>Take rate</t>
        </is>
      </c>
      <c r="K9" s="3">
        <f>G7</f>
        <v/>
      </c>
    </row>
    <row r="10">
      <c r="J10" t="inlineStr">
        <is>
          <t>Cobertura gastos Y3</t>
        </is>
      </c>
      <c r="K10" s="3">
        <f>H7</f>
        <v/>
      </c>
    </row>
    <row r="11">
      <c r="J11" t="inlineStr">
        <is>
          <t>GMV equilibrio mes</t>
        </is>
      </c>
      <c r="K11" s="5" t="n">
        <v>11400</v>
      </c>
    </row>
    <row r="12">
      <c r="A12" s="37" t="inlineStr">
        <is>
          <t>B. Comparativa GMV por escenario</t>
        </is>
      </c>
      <c r="J12" t="inlineStr">
        <is>
          <t>Vendedores obj. Y3</t>
        </is>
      </c>
      <c r="K12" s="5" t="n">
        <v>11</v>
      </c>
    </row>
    <row r="13">
      <c r="A13" s="38" t="inlineStr">
        <is>
          <t>Año</t>
        </is>
      </c>
      <c r="B13" s="38" t="inlineStr">
        <is>
          <t>Conservador</t>
        </is>
      </c>
      <c r="C13" s="38" t="inlineStr">
        <is>
          <t>Realista</t>
        </is>
      </c>
      <c r="D13" s="38" t="inlineStr">
        <is>
          <t>Optimista</t>
        </is>
      </c>
      <c r="J13" t="inlineStr">
        <is>
          <t>Comisión marketplace</t>
        </is>
      </c>
      <c r="K13" s="3" t="n">
        <v>0.15</v>
      </c>
    </row>
    <row r="14">
      <c r="A14" t="n">
        <v>1</v>
      </c>
      <c r="B14" s="5" t="n">
        <v>40000</v>
      </c>
      <c r="C14" s="5" t="n">
        <v>75000</v>
      </c>
      <c r="D14" s="5" t="n">
        <v>110000</v>
      </c>
      <c r="J14" t="inlineStr">
        <is>
          <t>Inv. + 15% dividendos</t>
        </is>
      </c>
      <c r="K14" s="5" t="n">
        <v>34500</v>
      </c>
    </row>
    <row r="15">
      <c r="A15" t="n">
        <v>2</v>
      </c>
      <c r="B15" s="5" t="n">
        <v>140000</v>
      </c>
      <c r="C15" s="5" t="n">
        <v>260000</v>
      </c>
      <c r="D15" s="5" t="n">
        <v>400000</v>
      </c>
    </row>
    <row r="16">
      <c r="A16" t="n">
        <v>3</v>
      </c>
      <c r="B16" s="5" t="n">
        <v>220000</v>
      </c>
      <c r="C16" s="5" t="n">
        <v>400000</v>
      </c>
      <c r="D16" s="5" t="n">
        <v>620000</v>
      </c>
    </row>
    <row r="17">
      <c r="A17" t="n">
        <v>4</v>
      </c>
      <c r="B17" s="5" t="n">
        <v>280000</v>
      </c>
      <c r="C17" s="5" t="n">
        <v>520000</v>
      </c>
      <c r="D17" s="5" t="n">
        <v>800000</v>
      </c>
    </row>
    <row r="18">
      <c r="A18" t="n">
        <v>5</v>
      </c>
      <c r="B18" s="5" t="n">
        <v>360000</v>
      </c>
      <c r="C18" s="5" t="n">
        <v>680000</v>
      </c>
      <c r="D18" s="5" t="n">
        <v>1050000</v>
      </c>
    </row>
    <row r="21">
      <c r="A21" s="37" t="inlineStr">
        <is>
          <t>C. Comparativa Resultado neto por escenario</t>
        </is>
      </c>
    </row>
    <row r="22">
      <c r="A22" s="38" t="inlineStr">
        <is>
          <t>Año</t>
        </is>
      </c>
      <c r="B22" s="38" t="inlineStr">
        <is>
          <t>Conservador</t>
        </is>
      </c>
      <c r="C22" s="38" t="inlineStr">
        <is>
          <t>Realista</t>
        </is>
      </c>
      <c r="D22" s="38" t="inlineStr">
        <is>
          <t>Optimista</t>
        </is>
      </c>
    </row>
    <row r="23">
      <c r="A23" t="n">
        <v>1</v>
      </c>
      <c r="B23" s="5" t="n">
        <v>-4380</v>
      </c>
      <c r="C23" s="5" t="n">
        <v>-4425</v>
      </c>
      <c r="D23" s="5" t="n">
        <v>-3510</v>
      </c>
    </row>
    <row r="24">
      <c r="A24" t="n">
        <v>2</v>
      </c>
      <c r="B24" s="5" t="n">
        <v>459</v>
      </c>
      <c r="C24" s="5" t="n">
        <v>153</v>
      </c>
      <c r="D24" s="5" t="n">
        <v>3876</v>
      </c>
    </row>
    <row r="25">
      <c r="A25" t="n">
        <v>3</v>
      </c>
      <c r="B25" s="5" t="n">
        <v>7803</v>
      </c>
      <c r="C25" s="5" t="n">
        <v>7752</v>
      </c>
      <c r="D25" s="5" t="n">
        <v>13790</v>
      </c>
    </row>
    <row r="26">
      <c r="A26" t="n">
        <v>4</v>
      </c>
      <c r="B26" s="5" t="n">
        <v>14688</v>
      </c>
      <c r="C26" s="5" t="n">
        <v>16453</v>
      </c>
      <c r="D26" s="5" t="n">
        <v>21757</v>
      </c>
    </row>
    <row r="27">
      <c r="A27" t="n">
        <v>5</v>
      </c>
      <c r="B27" s="5" t="n">
        <v>23868</v>
      </c>
      <c r="C27" s="5" t="n">
        <v>32201</v>
      </c>
      <c r="D27" s="5" t="n">
        <v>39367</v>
      </c>
    </row>
    <row r="30">
      <c r="A30" s="37" t="inlineStr">
        <is>
          <t>D. Estacionalidad GMV — Año 2 Conservador (fórmulas)</t>
        </is>
      </c>
    </row>
    <row r="31">
      <c r="A31" s="38" t="inlineStr">
        <is>
          <t>Mes</t>
        </is>
      </c>
      <c r="B31" s="38" t="inlineStr">
        <is>
          <t>GMV</t>
        </is>
      </c>
      <c r="C31" s="38" t="inlineStr">
        <is>
          <t>Ingresos</t>
        </is>
      </c>
    </row>
    <row r="32">
      <c r="A32" t="inlineStr">
        <is>
          <t>Enero</t>
        </is>
      </c>
      <c r="B32" s="5">
        <f>'PyG Conservador'!C15</f>
        <v/>
      </c>
      <c r="C32" s="5">
        <f>'PyG Conservador'!D15</f>
        <v/>
      </c>
    </row>
    <row r="33">
      <c r="A33" t="inlineStr">
        <is>
          <t>Febrero</t>
        </is>
      </c>
      <c r="B33" s="5">
        <f>'PyG Conservador'!C16</f>
        <v/>
      </c>
      <c r="C33" s="5">
        <f>'PyG Conservador'!D16</f>
        <v/>
      </c>
    </row>
    <row r="34">
      <c r="A34" t="inlineStr">
        <is>
          <t>Marzo</t>
        </is>
      </c>
      <c r="B34" s="5">
        <f>'PyG Conservador'!C17</f>
        <v/>
      </c>
      <c r="C34" s="5">
        <f>'PyG Conservador'!D17</f>
        <v/>
      </c>
    </row>
    <row r="35">
      <c r="A35" t="inlineStr">
        <is>
          <t>Abril</t>
        </is>
      </c>
      <c r="B35" s="5">
        <f>'PyG Conservador'!C18</f>
        <v/>
      </c>
      <c r="C35" s="5">
        <f>'PyG Conservador'!D18</f>
        <v/>
      </c>
    </row>
    <row r="36">
      <c r="A36" t="inlineStr">
        <is>
          <t>Mayo</t>
        </is>
      </c>
      <c r="B36" s="5">
        <f>'PyG Conservador'!C19</f>
        <v/>
      </c>
      <c r="C36" s="5">
        <f>'PyG Conservador'!D19</f>
        <v/>
      </c>
    </row>
    <row r="37">
      <c r="A37" t="inlineStr">
        <is>
          <t>Junio</t>
        </is>
      </c>
      <c r="B37" s="5">
        <f>'PyG Conservador'!C20</f>
        <v/>
      </c>
      <c r="C37" s="5">
        <f>'PyG Conservador'!D20</f>
        <v/>
      </c>
    </row>
    <row r="38">
      <c r="A38" t="inlineStr">
        <is>
          <t>Julio</t>
        </is>
      </c>
      <c r="B38" s="5">
        <f>'PyG Conservador'!C21</f>
        <v/>
      </c>
      <c r="C38" s="5">
        <f>'PyG Conservador'!D21</f>
        <v/>
      </c>
    </row>
    <row r="39">
      <c r="A39" t="inlineStr">
        <is>
          <t>Agosto</t>
        </is>
      </c>
      <c r="B39" s="5">
        <f>'PyG Conservador'!C22</f>
        <v/>
      </c>
      <c r="C39" s="5">
        <f>'PyG Conservador'!D22</f>
        <v/>
      </c>
    </row>
    <row r="40">
      <c r="A40" t="inlineStr">
        <is>
          <t>Septiembre</t>
        </is>
      </c>
      <c r="B40" s="5">
        <f>'PyG Conservador'!C23</f>
        <v/>
      </c>
      <c r="C40" s="5">
        <f>'PyG Conservador'!D23</f>
        <v/>
      </c>
    </row>
    <row r="41">
      <c r="A41" t="inlineStr">
        <is>
          <t>Octubre</t>
        </is>
      </c>
      <c r="B41" s="5">
        <f>'PyG Conservador'!C24</f>
        <v/>
      </c>
      <c r="C41" s="5">
        <f>'PyG Conservador'!D24</f>
        <v/>
      </c>
    </row>
    <row r="42">
      <c r="A42" t="inlineStr">
        <is>
          <t>Noviembre</t>
        </is>
      </c>
      <c r="B42" s="5">
        <f>'PyG Conservador'!C25</f>
        <v/>
      </c>
      <c r="C42" s="5">
        <f>'PyG Conservador'!D25</f>
        <v/>
      </c>
    </row>
    <row r="43">
      <c r="A43" t="inlineStr">
        <is>
          <t>Diciembre</t>
        </is>
      </c>
      <c r="B43" s="5">
        <f>'PyG Conservador'!C26</f>
        <v/>
      </c>
      <c r="C43" s="5">
        <f>'PyG Conservador'!D26</f>
        <v/>
      </c>
    </row>
    <row r="46">
      <c r="A46" s="37" t="inlineStr">
        <is>
          <t>E. Estructura de gastos — Año 3 Conservador (fórmulas)</t>
        </is>
      </c>
    </row>
    <row r="47">
      <c r="A47" s="38" t="inlineStr">
        <is>
          <t>Partida</t>
        </is>
      </c>
      <c r="B47" s="38" t="inlineStr">
        <is>
          <t>Importe</t>
        </is>
      </c>
    </row>
    <row r="48">
      <c r="A48" t="inlineStr">
        <is>
          <t>Medios de pago</t>
        </is>
      </c>
      <c r="B48" s="5">
        <f>SUMIF('PyG Conservador'!$A:$A,3,'PyG Conservador'!$E:$E)</f>
        <v/>
      </c>
    </row>
    <row r="49">
      <c r="A49" t="inlineStr">
        <is>
          <t>Personal</t>
        </is>
      </c>
      <c r="B49" s="5">
        <f>SUMIF('PyG Conservador'!$A:$A,3,'PyG Conservador'!$F:$F)</f>
        <v/>
      </c>
    </row>
    <row r="50">
      <c r="A50" t="inlineStr">
        <is>
          <t>Transportes</t>
        </is>
      </c>
      <c r="B50" s="5">
        <f>SUMIF('PyG Conservador'!$A:$A,3,'PyG Conservador'!$G:$G)</f>
        <v/>
      </c>
    </row>
    <row r="51">
      <c r="A51" t="inlineStr">
        <is>
          <t>Marketing</t>
        </is>
      </c>
      <c r="B51" s="5">
        <f>SUMIF('PyG Conservador'!$A:$A,3,'PyG Conservador'!$H:$H)</f>
        <v/>
      </c>
    </row>
    <row r="52">
      <c r="A52" t="inlineStr">
        <is>
          <t>Hosting/software</t>
        </is>
      </c>
      <c r="B52" s="5">
        <f>SUMIF('PyG Conservador'!$A:$A,3,'PyG Conservador'!$I:$I)</f>
        <v/>
      </c>
    </row>
    <row r="53">
      <c r="A53" t="inlineStr">
        <is>
          <t>Gestoría</t>
        </is>
      </c>
      <c r="B53" s="5">
        <f>SUMIF('PyG Conservador'!$A:$A,3,'PyG Conservador'!$J:$J)</f>
        <v/>
      </c>
    </row>
    <row r="54">
      <c r="A54" t="inlineStr">
        <is>
          <t>Seguros</t>
        </is>
      </c>
      <c r="B54" s="5">
        <f>SUMIF('PyG Conservador'!$A:$A,3,'PyG Conservador'!$K:$K)</f>
        <v/>
      </c>
    </row>
    <row r="55">
      <c r="A55" t="inlineStr">
        <is>
          <t>Telefonía</t>
        </is>
      </c>
      <c r="B55" s="5">
        <f>SUMIF('PyG Conservador'!$A:$A,3,'PyG Conservador'!$L:$L)</f>
        <v/>
      </c>
    </row>
    <row r="56">
      <c r="A56" t="inlineStr">
        <is>
          <t>Suministros</t>
        </is>
      </c>
      <c r="B56" s="5">
        <f>SUMIF('PyG Conservador'!$A:$A,3,'PyG Conservador'!$M:$M)</f>
        <v/>
      </c>
    </row>
    <row r="57">
      <c r="A57" t="inlineStr">
        <is>
          <t>Otros</t>
        </is>
      </c>
      <c r="B57" s="5">
        <f>SUMIF('PyG Conservador'!$A:$A,3,'PyG Conservador'!$N:$N)</f>
        <v/>
      </c>
    </row>
    <row r="58">
      <c r="A58" t="inlineStr">
        <is>
          <t>Amortizaciones</t>
        </is>
      </c>
      <c r="B58" s="5">
        <f>SUMIF('PyG Conservador'!$A:$A,3,'PyG Conservador'!$O:$O)</f>
        <v/>
      </c>
    </row>
    <row r="59">
      <c r="A59" t="inlineStr">
        <is>
          <t>Gastos financieros</t>
        </is>
      </c>
      <c r="B59" s="5">
        <f>SUMIF('PyG Conservador'!$A:$A,3,'PyG Conservador'!$P:$P)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2"/>
  <sheetViews>
    <sheetView workbookViewId="0">
      <selection activeCell="A1" sqref="A1"/>
    </sheetView>
  </sheetViews>
  <sheetFormatPr baseColWidth="8" defaultRowHeight="15"/>
  <cols>
    <col width="13" customWidth="1" style="32" min="1" max="1"/>
    <col width="12" customWidth="1" style="32" min="2" max="2"/>
    <col width="13" customWidth="1" style="32" min="3" max="3"/>
    <col width="18" customWidth="1" style="32" min="4" max="4"/>
    <col width="13" customWidth="1" style="32" min="5" max="5"/>
    <col width="13" customWidth="1" style="32" min="6" max="6"/>
    <col width="13" customWidth="1" style="32" min="7" max="7"/>
    <col width="13" customWidth="1" style="32" min="8" max="8"/>
    <col width="13" customWidth="1" style="32" min="9" max="9"/>
    <col width="13" customWidth="1" style="32" min="10" max="10"/>
    <col width="13" customWidth="1" style="32" min="11" max="11"/>
    <col width="13" customWidth="1" style="32" min="12" max="12"/>
    <col width="13" customWidth="1" style="32" min="13" max="13"/>
    <col width="13" customWidth="1" style="32" min="14" max="14"/>
    <col width="13" customWidth="1" style="32" min="15" max="15"/>
    <col width="13" customWidth="1" style="32" min="16" max="16"/>
    <col width="13" customWidth="1" style="32" min="17" max="17"/>
    <col width="13" customWidth="1" style="32" min="18" max="18"/>
    <col width="13" customWidth="1" style="32" min="19" max="19"/>
    <col width="13" customWidth="1" style="32" min="20" max="20"/>
  </cols>
  <sheetData>
    <row r="1">
      <c r="A1" s="41" t="inlineStr">
        <is>
          <t>ESCENARIO REALISTA (hipótesis) — mayor GMV y gasto; no validado con ventas reales</t>
        </is>
      </c>
    </row>
    <row r="2" ht="30" customHeight="1" s="32">
      <c r="A2" s="38" t="inlineStr">
        <is>
          <t>Año</t>
        </is>
      </c>
      <c r="B2" s="38" t="inlineStr">
        <is>
          <t>Mes</t>
        </is>
      </c>
      <c r="C2" s="38" t="inlineStr">
        <is>
          <t>GMV vendedores</t>
        </is>
      </c>
      <c r="D2" s="38" t="inlineStr">
        <is>
          <t>Ingresos comisión (15%)</t>
        </is>
      </c>
      <c r="E2" s="38" t="inlineStr">
        <is>
          <t>Coste medios pago</t>
        </is>
      </c>
      <c r="F2" s="38" t="inlineStr">
        <is>
          <t>Personal</t>
        </is>
      </c>
      <c r="G2" s="38" t="inlineStr">
        <is>
          <t>Transportes/logística</t>
        </is>
      </c>
      <c r="H2" s="38" t="inlineStr">
        <is>
          <t>Marketing</t>
        </is>
      </c>
      <c r="I2" s="38" t="inlineStr">
        <is>
          <t>Hosting/software</t>
        </is>
      </c>
      <c r="J2" s="38" t="inlineStr">
        <is>
          <t>Gestoría/contabilidad</t>
        </is>
      </c>
      <c r="K2" s="38" t="inlineStr">
        <is>
          <t>Seguros</t>
        </is>
      </c>
      <c r="L2" s="38" t="inlineStr">
        <is>
          <t>Telefonía/Internet</t>
        </is>
      </c>
      <c r="M2" s="38" t="inlineStr">
        <is>
          <t>Suministros/oficina</t>
        </is>
      </c>
      <c r="N2" s="38" t="inlineStr">
        <is>
          <t>Otros corrientes</t>
        </is>
      </c>
      <c r="O2" s="38" t="inlineStr">
        <is>
          <t>Amortizaciones</t>
        </is>
      </c>
      <c r="P2" s="38" t="inlineStr">
        <is>
          <t>Gastos financieros</t>
        </is>
      </c>
      <c r="Q2" s="38" t="inlineStr">
        <is>
          <t>Total gastos</t>
        </is>
      </c>
      <c r="R2" s="38" t="inlineStr">
        <is>
          <t>Resultado antes impuestos</t>
        </is>
      </c>
      <c r="S2" s="38" t="inlineStr">
        <is>
          <t>Impuesto Sociedades</t>
        </is>
      </c>
      <c r="T2" s="38" t="inlineStr">
        <is>
          <t>Resultado neto</t>
        </is>
      </c>
    </row>
    <row r="3">
      <c r="A3" t="n">
        <v>1</v>
      </c>
      <c r="B3" t="inlineStr">
        <is>
          <t>Enero</t>
        </is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50</v>
      </c>
      <c r="I3" s="5" t="n">
        <v>120</v>
      </c>
      <c r="J3" s="5" t="n">
        <v>150</v>
      </c>
      <c r="K3" s="5" t="n">
        <v>40</v>
      </c>
      <c r="L3" s="5" t="n">
        <v>45</v>
      </c>
      <c r="M3" s="5" t="n">
        <v>55</v>
      </c>
      <c r="N3" s="5" t="n">
        <v>40</v>
      </c>
      <c r="O3" s="5" t="n">
        <v>0</v>
      </c>
      <c r="P3" s="5" t="n">
        <v>15</v>
      </c>
      <c r="Q3" s="5">
        <f>SUM(E3:P3)</f>
        <v/>
      </c>
      <c r="R3" s="5">
        <f>D3-Q3</f>
        <v/>
      </c>
      <c r="S3" s="5">
        <f>MAX(0,R3*0.15)</f>
        <v/>
      </c>
      <c r="T3" s="5">
        <f>R3-S3</f>
        <v/>
      </c>
    </row>
    <row r="4">
      <c r="A4" t="n">
        <v>1</v>
      </c>
      <c r="B4" t="inlineStr">
        <is>
          <t>Febrero</t>
        </is>
      </c>
      <c r="C4" s="5" t="n">
        <v>0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50</v>
      </c>
      <c r="I4" s="5" t="n">
        <v>120</v>
      </c>
      <c r="J4" s="5" t="n">
        <v>150</v>
      </c>
      <c r="K4" s="5" t="n">
        <v>40</v>
      </c>
      <c r="L4" s="5" t="n">
        <v>45</v>
      </c>
      <c r="M4" s="5" t="n">
        <v>55</v>
      </c>
      <c r="N4" s="5" t="n">
        <v>40</v>
      </c>
      <c r="O4" s="5" t="n">
        <v>0</v>
      </c>
      <c r="P4" s="5" t="n">
        <v>15</v>
      </c>
      <c r="Q4" s="5">
        <f>SUM(E4:P4)</f>
        <v/>
      </c>
      <c r="R4" s="5">
        <f>D4-Q4</f>
        <v/>
      </c>
      <c r="S4" s="5">
        <f>MAX(0,R4*0.15)</f>
        <v/>
      </c>
      <c r="T4" s="5">
        <f>R4-S4</f>
        <v/>
      </c>
    </row>
    <row r="5">
      <c r="A5" t="n">
        <v>1</v>
      </c>
      <c r="B5" t="inlineStr">
        <is>
          <t>Marzo</t>
        </is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50</v>
      </c>
      <c r="I5" s="5" t="n">
        <v>120</v>
      </c>
      <c r="J5" s="5" t="n">
        <v>150</v>
      </c>
      <c r="K5" s="5" t="n">
        <v>40</v>
      </c>
      <c r="L5" s="5" t="n">
        <v>45</v>
      </c>
      <c r="M5" s="5" t="n">
        <v>55</v>
      </c>
      <c r="N5" s="5" t="n">
        <v>40</v>
      </c>
      <c r="O5" s="5" t="n">
        <v>0</v>
      </c>
      <c r="P5" s="5" t="n">
        <v>15</v>
      </c>
      <c r="Q5" s="5">
        <f>SUM(E5:P5)</f>
        <v/>
      </c>
      <c r="R5" s="5">
        <f>D5-Q5</f>
        <v/>
      </c>
      <c r="S5" s="5">
        <f>MAX(0,R5*0.15)</f>
        <v/>
      </c>
      <c r="T5" s="5">
        <f>R5-S5</f>
        <v/>
      </c>
    </row>
    <row r="6">
      <c r="A6" t="n">
        <v>1</v>
      </c>
      <c r="B6" t="inlineStr">
        <is>
          <t>Abril</t>
        </is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50</v>
      </c>
      <c r="I6" s="5" t="n">
        <v>120</v>
      </c>
      <c r="J6" s="5" t="n">
        <v>150</v>
      </c>
      <c r="K6" s="5" t="n">
        <v>40</v>
      </c>
      <c r="L6" s="5" t="n">
        <v>45</v>
      </c>
      <c r="M6" s="5" t="n">
        <v>55</v>
      </c>
      <c r="N6" s="5" t="n">
        <v>40</v>
      </c>
      <c r="O6" s="5" t="n">
        <v>0</v>
      </c>
      <c r="P6" s="5" t="n">
        <v>15</v>
      </c>
      <c r="Q6" s="5">
        <f>SUM(E6:P6)</f>
        <v/>
      </c>
      <c r="R6" s="5">
        <f>D6-Q6</f>
        <v/>
      </c>
      <c r="S6" s="5">
        <f>MAX(0,R6*0.15)</f>
        <v/>
      </c>
      <c r="T6" s="5">
        <f>R6-S6</f>
        <v/>
      </c>
    </row>
    <row r="7">
      <c r="A7" t="n">
        <v>1</v>
      </c>
      <c r="B7" t="inlineStr">
        <is>
          <t>Mayo</t>
        </is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50</v>
      </c>
      <c r="I7" s="5" t="n">
        <v>120</v>
      </c>
      <c r="J7" s="5" t="n">
        <v>150</v>
      </c>
      <c r="K7" s="5" t="n">
        <v>40</v>
      </c>
      <c r="L7" s="5" t="n">
        <v>45</v>
      </c>
      <c r="M7" s="5" t="n">
        <v>55</v>
      </c>
      <c r="N7" s="5" t="n">
        <v>40</v>
      </c>
      <c r="O7" s="5" t="n">
        <v>0</v>
      </c>
      <c r="P7" s="5" t="n">
        <v>15</v>
      </c>
      <c r="Q7" s="5">
        <f>SUM(E7:P7)</f>
        <v/>
      </c>
      <c r="R7" s="5">
        <f>D7-Q7</f>
        <v/>
      </c>
      <c r="S7" s="5">
        <f>MAX(0,R7*0.15)</f>
        <v/>
      </c>
      <c r="T7" s="5">
        <f>R7-S7</f>
        <v/>
      </c>
    </row>
    <row r="8">
      <c r="A8" t="n">
        <v>1</v>
      </c>
      <c r="B8" t="inlineStr">
        <is>
          <t>Junio</t>
        </is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50</v>
      </c>
      <c r="I8" s="5" t="n">
        <v>120</v>
      </c>
      <c r="J8" s="5" t="n">
        <v>150</v>
      </c>
      <c r="K8" s="5" t="n">
        <v>40</v>
      </c>
      <c r="L8" s="5" t="n">
        <v>45</v>
      </c>
      <c r="M8" s="5" t="n">
        <v>55</v>
      </c>
      <c r="N8" s="5" t="n">
        <v>40</v>
      </c>
      <c r="O8" s="5" t="n">
        <v>0</v>
      </c>
      <c r="P8" s="5" t="n">
        <v>15</v>
      </c>
      <c r="Q8" s="5">
        <f>SUM(E8:P8)</f>
        <v/>
      </c>
      <c r="R8" s="5">
        <f>D8-Q8</f>
        <v/>
      </c>
      <c r="S8" s="5">
        <f>MAX(0,R8*0.15)</f>
        <v/>
      </c>
      <c r="T8" s="5">
        <f>R8-S8</f>
        <v/>
      </c>
    </row>
    <row r="9">
      <c r="A9" t="n">
        <v>1</v>
      </c>
      <c r="B9" t="inlineStr">
        <is>
          <t>Julio</t>
        </is>
      </c>
      <c r="C9" s="5" t="n">
        <v>14214.95</v>
      </c>
      <c r="D9" s="5" t="n">
        <v>2132.24</v>
      </c>
      <c r="E9" s="5" t="n">
        <v>213.22</v>
      </c>
      <c r="F9" s="5" t="n">
        <v>0</v>
      </c>
      <c r="G9" s="5" t="n">
        <v>50</v>
      </c>
      <c r="H9" s="5" t="n">
        <v>700</v>
      </c>
      <c r="I9" s="5" t="n">
        <v>220</v>
      </c>
      <c r="J9" s="5" t="n">
        <v>180</v>
      </c>
      <c r="K9" s="5" t="n">
        <v>50</v>
      </c>
      <c r="L9" s="5" t="n">
        <v>55</v>
      </c>
      <c r="M9" s="5" t="n">
        <v>70</v>
      </c>
      <c r="N9" s="5" t="n">
        <v>60</v>
      </c>
      <c r="O9" s="5" t="n">
        <v>500</v>
      </c>
      <c r="P9" s="5" t="n">
        <v>25</v>
      </c>
      <c r="Q9" s="5">
        <f>SUM(E9:P9)</f>
        <v/>
      </c>
      <c r="R9" s="5">
        <f>D9-Q9</f>
        <v/>
      </c>
      <c r="S9" s="5">
        <f>MAX(0,R9*0.15)</f>
        <v/>
      </c>
      <c r="T9" s="5">
        <f>R9-S9</f>
        <v/>
      </c>
    </row>
    <row r="10">
      <c r="A10" t="n">
        <v>1</v>
      </c>
      <c r="B10" t="inlineStr">
        <is>
          <t>Agosto</t>
        </is>
      </c>
      <c r="C10" s="5" t="n">
        <v>20611.68</v>
      </c>
      <c r="D10" s="5" t="n">
        <v>3091.75</v>
      </c>
      <c r="E10" s="5" t="n">
        <v>309.18</v>
      </c>
      <c r="F10" s="5" t="n">
        <v>0</v>
      </c>
      <c r="G10" s="5" t="n">
        <v>50</v>
      </c>
      <c r="H10" s="5" t="n">
        <v>700</v>
      </c>
      <c r="I10" s="5" t="n">
        <v>220</v>
      </c>
      <c r="J10" s="5" t="n">
        <v>180</v>
      </c>
      <c r="K10" s="5" t="n">
        <v>50</v>
      </c>
      <c r="L10" s="5" t="n">
        <v>55</v>
      </c>
      <c r="M10" s="5" t="n">
        <v>70</v>
      </c>
      <c r="N10" s="5" t="n">
        <v>60</v>
      </c>
      <c r="O10" s="5" t="n">
        <v>500</v>
      </c>
      <c r="P10" s="5" t="n">
        <v>25</v>
      </c>
      <c r="Q10" s="5">
        <f>SUM(E10:P10)</f>
        <v/>
      </c>
      <c r="R10" s="5">
        <f>D10-Q10</f>
        <v/>
      </c>
      <c r="S10" s="5">
        <f>MAX(0,R10*0.15)</f>
        <v/>
      </c>
      <c r="T10" s="5">
        <f>R10-S10</f>
        <v/>
      </c>
    </row>
    <row r="11">
      <c r="A11" t="n">
        <v>1</v>
      </c>
      <c r="B11" t="inlineStr">
        <is>
          <t>Septiembre</t>
        </is>
      </c>
      <c r="C11" s="5" t="n">
        <v>10145.54</v>
      </c>
      <c r="D11" s="5" t="n">
        <v>1521.83</v>
      </c>
      <c r="E11" s="5" t="n">
        <v>152.18</v>
      </c>
      <c r="F11" s="5" t="n">
        <v>0</v>
      </c>
      <c r="G11" s="5" t="n">
        <v>50</v>
      </c>
      <c r="H11" s="5" t="n">
        <v>700</v>
      </c>
      <c r="I11" s="5" t="n">
        <v>220</v>
      </c>
      <c r="J11" s="5" t="n">
        <v>180</v>
      </c>
      <c r="K11" s="5" t="n">
        <v>50</v>
      </c>
      <c r="L11" s="5" t="n">
        <v>55</v>
      </c>
      <c r="M11" s="5" t="n">
        <v>70</v>
      </c>
      <c r="N11" s="5" t="n">
        <v>60</v>
      </c>
      <c r="O11" s="5" t="n">
        <v>500</v>
      </c>
      <c r="P11" s="5" t="n">
        <v>25</v>
      </c>
      <c r="Q11" s="5">
        <f>SUM(E11:P11)</f>
        <v/>
      </c>
      <c r="R11" s="5">
        <f>D11-Q11</f>
        <v/>
      </c>
      <c r="S11" s="5">
        <f>MAX(0,R11*0.15)</f>
        <v/>
      </c>
      <c r="T11" s="5">
        <f>R11-S11</f>
        <v/>
      </c>
    </row>
    <row r="12">
      <c r="A12" t="n">
        <v>1</v>
      </c>
      <c r="B12" t="inlineStr">
        <is>
          <t>Octubre</t>
        </is>
      </c>
      <c r="C12" s="5" t="n">
        <v>11251.53</v>
      </c>
      <c r="D12" s="5" t="n">
        <v>1687.73</v>
      </c>
      <c r="E12" s="5" t="n">
        <v>168.77</v>
      </c>
      <c r="F12" s="5" t="n">
        <v>0</v>
      </c>
      <c r="G12" s="5" t="n">
        <v>50</v>
      </c>
      <c r="H12" s="5" t="n">
        <v>700</v>
      </c>
      <c r="I12" s="5" t="n">
        <v>220</v>
      </c>
      <c r="J12" s="5" t="n">
        <v>180</v>
      </c>
      <c r="K12" s="5" t="n">
        <v>50</v>
      </c>
      <c r="L12" s="5" t="n">
        <v>55</v>
      </c>
      <c r="M12" s="5" t="n">
        <v>70</v>
      </c>
      <c r="N12" s="5" t="n">
        <v>60</v>
      </c>
      <c r="O12" s="5" t="n">
        <v>500</v>
      </c>
      <c r="P12" s="5" t="n">
        <v>25</v>
      </c>
      <c r="Q12" s="5">
        <f>SUM(E12:P12)</f>
        <v/>
      </c>
      <c r="R12" s="5">
        <f>D12-Q12</f>
        <v/>
      </c>
      <c r="S12" s="5">
        <f>MAX(0,R12*0.15)</f>
        <v/>
      </c>
      <c r="T12" s="5">
        <f>R12-S12</f>
        <v/>
      </c>
    </row>
    <row r="13">
      <c r="A13" t="n">
        <v>1</v>
      </c>
      <c r="B13" t="inlineStr">
        <is>
          <t>Noviembre</t>
        </is>
      </c>
      <c r="C13" s="5" t="n">
        <v>9721.469999999999</v>
      </c>
      <c r="D13" s="5" t="n">
        <v>1458.22</v>
      </c>
      <c r="E13" s="5" t="n">
        <v>145.82</v>
      </c>
      <c r="F13" s="5" t="n">
        <v>0</v>
      </c>
      <c r="G13" s="5" t="n">
        <v>50</v>
      </c>
      <c r="H13" s="5" t="n">
        <v>700</v>
      </c>
      <c r="I13" s="5" t="n">
        <v>220</v>
      </c>
      <c r="J13" s="5" t="n">
        <v>180</v>
      </c>
      <c r="K13" s="5" t="n">
        <v>50</v>
      </c>
      <c r="L13" s="5" t="n">
        <v>55</v>
      </c>
      <c r="M13" s="5" t="n">
        <v>70</v>
      </c>
      <c r="N13" s="5" t="n">
        <v>60</v>
      </c>
      <c r="O13" s="5" t="n">
        <v>500</v>
      </c>
      <c r="P13" s="5" t="n">
        <v>25</v>
      </c>
      <c r="Q13" s="5">
        <f>SUM(E13:P13)</f>
        <v/>
      </c>
      <c r="R13" s="5">
        <f>D13-Q13</f>
        <v/>
      </c>
      <c r="S13" s="5">
        <f>MAX(0,R13*0.15)</f>
        <v/>
      </c>
      <c r="T13" s="5">
        <f>R13-S13</f>
        <v/>
      </c>
    </row>
    <row r="14">
      <c r="A14" t="n">
        <v>1</v>
      </c>
      <c r="B14" t="inlineStr">
        <is>
          <t>Diciembre</t>
        </is>
      </c>
      <c r="C14" s="5" t="n">
        <v>9054.82</v>
      </c>
      <c r="D14" s="5" t="n">
        <v>1358.22</v>
      </c>
      <c r="E14" s="5" t="n">
        <v>135.82</v>
      </c>
      <c r="F14" s="5" t="n">
        <v>0</v>
      </c>
      <c r="G14" s="5" t="n">
        <v>50</v>
      </c>
      <c r="H14" s="5" t="n">
        <v>700</v>
      </c>
      <c r="I14" s="5" t="n">
        <v>220</v>
      </c>
      <c r="J14" s="5" t="n">
        <v>180</v>
      </c>
      <c r="K14" s="5" t="n">
        <v>50</v>
      </c>
      <c r="L14" s="5" t="n">
        <v>55</v>
      </c>
      <c r="M14" s="5" t="n">
        <v>70</v>
      </c>
      <c r="N14" s="5" t="n">
        <v>60</v>
      </c>
      <c r="O14" s="5" t="n">
        <v>500</v>
      </c>
      <c r="P14" s="5" t="n">
        <v>25</v>
      </c>
      <c r="Q14" s="5">
        <f>SUM(E14:P14)</f>
        <v/>
      </c>
      <c r="R14" s="5">
        <f>D14-Q14</f>
        <v/>
      </c>
      <c r="S14" s="5">
        <f>MAX(0,R14*0.15)</f>
        <v/>
      </c>
      <c r="T14" s="5">
        <f>R14-S14</f>
        <v/>
      </c>
    </row>
    <row r="15">
      <c r="A15" t="n">
        <v>2</v>
      </c>
      <c r="B15" t="inlineStr">
        <is>
          <t>Enero</t>
        </is>
      </c>
      <c r="C15" s="5" t="n">
        <v>9950.35</v>
      </c>
      <c r="D15" s="5" t="n">
        <v>1492.55</v>
      </c>
      <c r="E15" s="5" t="n">
        <v>149.26</v>
      </c>
      <c r="F15" s="5" t="n">
        <v>500</v>
      </c>
      <c r="G15" s="5" t="n">
        <v>50</v>
      </c>
      <c r="H15" s="5" t="n">
        <v>1000</v>
      </c>
      <c r="I15" s="5" t="n">
        <v>420</v>
      </c>
      <c r="J15" s="5" t="n">
        <v>180</v>
      </c>
      <c r="K15" s="5" t="n">
        <v>50</v>
      </c>
      <c r="L15" s="5" t="n">
        <v>55</v>
      </c>
      <c r="M15" s="5" t="n">
        <v>70</v>
      </c>
      <c r="N15" s="5" t="n">
        <v>60</v>
      </c>
      <c r="O15" s="5" t="n">
        <v>500</v>
      </c>
      <c r="P15" s="5" t="n">
        <v>25</v>
      </c>
      <c r="Q15" s="5">
        <f>SUM(E15:P15)</f>
        <v/>
      </c>
      <c r="R15" s="5">
        <f>D15-Q15</f>
        <v/>
      </c>
      <c r="S15" s="5">
        <f>MAX(0,R15*0.15)</f>
        <v/>
      </c>
      <c r="T15" s="5">
        <f>R15-S15</f>
        <v/>
      </c>
    </row>
    <row r="16">
      <c r="A16" t="n">
        <v>2</v>
      </c>
      <c r="B16" t="inlineStr">
        <is>
          <t>Febrero</t>
        </is>
      </c>
      <c r="C16" s="5" t="n">
        <v>13923.99</v>
      </c>
      <c r="D16" s="5" t="n">
        <v>2088.6</v>
      </c>
      <c r="E16" s="5" t="n">
        <v>208.86</v>
      </c>
      <c r="F16" s="5" t="n">
        <v>500</v>
      </c>
      <c r="G16" s="5" t="n">
        <v>50</v>
      </c>
      <c r="H16" s="5" t="n">
        <v>1000</v>
      </c>
      <c r="I16" s="5" t="n">
        <v>420</v>
      </c>
      <c r="J16" s="5" t="n">
        <v>180</v>
      </c>
      <c r="K16" s="5" t="n">
        <v>50</v>
      </c>
      <c r="L16" s="5" t="n">
        <v>55</v>
      </c>
      <c r="M16" s="5" t="n">
        <v>70</v>
      </c>
      <c r="N16" s="5" t="n">
        <v>60</v>
      </c>
      <c r="O16" s="5" t="n">
        <v>500</v>
      </c>
      <c r="P16" s="5" t="n">
        <v>25</v>
      </c>
      <c r="Q16" s="5">
        <f>SUM(E16:P16)</f>
        <v/>
      </c>
      <c r="R16" s="5">
        <f>D16-Q16</f>
        <v/>
      </c>
      <c r="S16" s="5">
        <f>MAX(0,R16*0.15)</f>
        <v/>
      </c>
      <c r="T16" s="5">
        <f>R16-S16</f>
        <v/>
      </c>
    </row>
    <row r="17">
      <c r="A17" t="n">
        <v>2</v>
      </c>
      <c r="B17" t="inlineStr">
        <is>
          <t>Marzo</t>
        </is>
      </c>
      <c r="C17" s="5" t="n">
        <v>20656.39</v>
      </c>
      <c r="D17" s="5" t="n">
        <v>3098.46</v>
      </c>
      <c r="E17" s="5" t="n">
        <v>309.85</v>
      </c>
      <c r="F17" s="5" t="n">
        <v>500</v>
      </c>
      <c r="G17" s="5" t="n">
        <v>50</v>
      </c>
      <c r="H17" s="5" t="n">
        <v>1000</v>
      </c>
      <c r="I17" s="5" t="n">
        <v>420</v>
      </c>
      <c r="J17" s="5" t="n">
        <v>180</v>
      </c>
      <c r="K17" s="5" t="n">
        <v>50</v>
      </c>
      <c r="L17" s="5" t="n">
        <v>55</v>
      </c>
      <c r="M17" s="5" t="n">
        <v>70</v>
      </c>
      <c r="N17" s="5" t="n">
        <v>60</v>
      </c>
      <c r="O17" s="5" t="n">
        <v>500</v>
      </c>
      <c r="P17" s="5" t="n">
        <v>25</v>
      </c>
      <c r="Q17" s="5">
        <f>SUM(E17:P17)</f>
        <v/>
      </c>
      <c r="R17" s="5">
        <f>D17-Q17</f>
        <v/>
      </c>
      <c r="S17" s="5">
        <f>MAX(0,R17*0.15)</f>
        <v/>
      </c>
      <c r="T17" s="5">
        <f>R17-S17</f>
        <v/>
      </c>
    </row>
    <row r="18">
      <c r="A18" t="n">
        <v>2</v>
      </c>
      <c r="B18" t="inlineStr">
        <is>
          <t>Abril</t>
        </is>
      </c>
      <c r="C18" s="5" t="n">
        <v>14101.16</v>
      </c>
      <c r="D18" s="5" t="n">
        <v>2115.17</v>
      </c>
      <c r="E18" s="5" t="n">
        <v>211.52</v>
      </c>
      <c r="F18" s="5" t="n">
        <v>500</v>
      </c>
      <c r="G18" s="5" t="n">
        <v>50</v>
      </c>
      <c r="H18" s="5" t="n">
        <v>1000</v>
      </c>
      <c r="I18" s="5" t="n">
        <v>420</v>
      </c>
      <c r="J18" s="5" t="n">
        <v>180</v>
      </c>
      <c r="K18" s="5" t="n">
        <v>50</v>
      </c>
      <c r="L18" s="5" t="n">
        <v>55</v>
      </c>
      <c r="M18" s="5" t="n">
        <v>70</v>
      </c>
      <c r="N18" s="5" t="n">
        <v>60</v>
      </c>
      <c r="O18" s="5" t="n">
        <v>500</v>
      </c>
      <c r="P18" s="5" t="n">
        <v>25</v>
      </c>
      <c r="Q18" s="5">
        <f>SUM(E18:P18)</f>
        <v/>
      </c>
      <c r="R18" s="5">
        <f>D18-Q18</f>
        <v/>
      </c>
      <c r="S18" s="5">
        <f>MAX(0,R18*0.15)</f>
        <v/>
      </c>
      <c r="T18" s="5">
        <f>R18-S18</f>
        <v/>
      </c>
    </row>
    <row r="19">
      <c r="A19" t="n">
        <v>2</v>
      </c>
      <c r="B19" t="inlineStr">
        <is>
          <t>Mayo</t>
        </is>
      </c>
      <c r="C19" s="5" t="n">
        <v>20027.26</v>
      </c>
      <c r="D19" s="5" t="n">
        <v>3004.09</v>
      </c>
      <c r="E19" s="5" t="n">
        <v>300.41</v>
      </c>
      <c r="F19" s="5" t="n">
        <v>500</v>
      </c>
      <c r="G19" s="5" t="n">
        <v>50</v>
      </c>
      <c r="H19" s="5" t="n">
        <v>1000</v>
      </c>
      <c r="I19" s="5" t="n">
        <v>420</v>
      </c>
      <c r="J19" s="5" t="n">
        <v>180</v>
      </c>
      <c r="K19" s="5" t="n">
        <v>50</v>
      </c>
      <c r="L19" s="5" t="n">
        <v>55</v>
      </c>
      <c r="M19" s="5" t="n">
        <v>70</v>
      </c>
      <c r="N19" s="5" t="n">
        <v>60</v>
      </c>
      <c r="O19" s="5" t="n">
        <v>500</v>
      </c>
      <c r="P19" s="5" t="n">
        <v>25</v>
      </c>
      <c r="Q19" s="5">
        <f>SUM(E19:P19)</f>
        <v/>
      </c>
      <c r="R19" s="5">
        <f>D19-Q19</f>
        <v/>
      </c>
      <c r="S19" s="5">
        <f>MAX(0,R19*0.15)</f>
        <v/>
      </c>
      <c r="T19" s="5">
        <f>R19-S19</f>
        <v/>
      </c>
    </row>
    <row r="20">
      <c r="A20" t="n">
        <v>2</v>
      </c>
      <c r="B20" t="inlineStr">
        <is>
          <t>Junio</t>
        </is>
      </c>
      <c r="C20" s="5" t="n">
        <v>21477.14</v>
      </c>
      <c r="D20" s="5" t="n">
        <v>3221.57</v>
      </c>
      <c r="E20" s="5" t="n">
        <v>322.16</v>
      </c>
      <c r="F20" s="5" t="n">
        <v>500</v>
      </c>
      <c r="G20" s="5" t="n">
        <v>50</v>
      </c>
      <c r="H20" s="5" t="n">
        <v>1000</v>
      </c>
      <c r="I20" s="5" t="n">
        <v>420</v>
      </c>
      <c r="J20" s="5" t="n">
        <v>180</v>
      </c>
      <c r="K20" s="5" t="n">
        <v>50</v>
      </c>
      <c r="L20" s="5" t="n">
        <v>55</v>
      </c>
      <c r="M20" s="5" t="n">
        <v>70</v>
      </c>
      <c r="N20" s="5" t="n">
        <v>60</v>
      </c>
      <c r="O20" s="5" t="n">
        <v>500</v>
      </c>
      <c r="P20" s="5" t="n">
        <v>25</v>
      </c>
      <c r="Q20" s="5">
        <f>SUM(E20:P20)</f>
        <v/>
      </c>
      <c r="R20" s="5">
        <f>D20-Q20</f>
        <v/>
      </c>
      <c r="S20" s="5">
        <f>MAX(0,R20*0.15)</f>
        <v/>
      </c>
      <c r="T20" s="5">
        <f>R20-S20</f>
        <v/>
      </c>
    </row>
    <row r="21">
      <c r="A21" t="n">
        <v>2</v>
      </c>
      <c r="B21" t="inlineStr">
        <is>
          <t>Julio</t>
        </is>
      </c>
      <c r="C21" s="5" t="n">
        <v>30299.41</v>
      </c>
      <c r="D21" s="5" t="n">
        <v>4544.91</v>
      </c>
      <c r="E21" s="5" t="n">
        <v>454.49</v>
      </c>
      <c r="F21" s="5" t="n">
        <v>500</v>
      </c>
      <c r="G21" s="5" t="n">
        <v>50</v>
      </c>
      <c r="H21" s="5" t="n">
        <v>1000</v>
      </c>
      <c r="I21" s="5" t="n">
        <v>420</v>
      </c>
      <c r="J21" s="5" t="n">
        <v>180</v>
      </c>
      <c r="K21" s="5" t="n">
        <v>50</v>
      </c>
      <c r="L21" s="5" t="n">
        <v>55</v>
      </c>
      <c r="M21" s="5" t="n">
        <v>70</v>
      </c>
      <c r="N21" s="5" t="n">
        <v>60</v>
      </c>
      <c r="O21" s="5" t="n">
        <v>500</v>
      </c>
      <c r="P21" s="5" t="n">
        <v>25</v>
      </c>
      <c r="Q21" s="5">
        <f>SUM(E21:P21)</f>
        <v/>
      </c>
      <c r="R21" s="5">
        <f>D21-Q21</f>
        <v/>
      </c>
      <c r="S21" s="5">
        <f>MAX(0,R21*0.15)</f>
        <v/>
      </c>
      <c r="T21" s="5">
        <f>R21-S21</f>
        <v/>
      </c>
    </row>
    <row r="22">
      <c r="A22" t="n">
        <v>2</v>
      </c>
      <c r="B22" t="inlineStr">
        <is>
          <t>Agosto</t>
        </is>
      </c>
      <c r="C22" s="5" t="n">
        <v>43934.14</v>
      </c>
      <c r="D22" s="5" t="n">
        <v>6590.12</v>
      </c>
      <c r="E22" s="5" t="n">
        <v>659.01</v>
      </c>
      <c r="F22" s="5" t="n">
        <v>500</v>
      </c>
      <c r="G22" s="5" t="n">
        <v>50</v>
      </c>
      <c r="H22" s="5" t="n">
        <v>1000</v>
      </c>
      <c r="I22" s="5" t="n">
        <v>420</v>
      </c>
      <c r="J22" s="5" t="n">
        <v>180</v>
      </c>
      <c r="K22" s="5" t="n">
        <v>50</v>
      </c>
      <c r="L22" s="5" t="n">
        <v>55</v>
      </c>
      <c r="M22" s="5" t="n">
        <v>70</v>
      </c>
      <c r="N22" s="5" t="n">
        <v>60</v>
      </c>
      <c r="O22" s="5" t="n">
        <v>500</v>
      </c>
      <c r="P22" s="5" t="n">
        <v>25</v>
      </c>
      <c r="Q22" s="5">
        <f>SUM(E22:P22)</f>
        <v/>
      </c>
      <c r="R22" s="5">
        <f>D22-Q22</f>
        <v/>
      </c>
      <c r="S22" s="5">
        <f>MAX(0,R22*0.15)</f>
        <v/>
      </c>
      <c r="T22" s="5">
        <f>R22-S22</f>
        <v/>
      </c>
    </row>
    <row r="23">
      <c r="A23" t="n">
        <v>2</v>
      </c>
      <c r="B23" t="inlineStr">
        <is>
          <t>Septiembre</t>
        </is>
      </c>
      <c r="C23" s="5" t="n">
        <v>21625.39</v>
      </c>
      <c r="D23" s="5" t="n">
        <v>3243.81</v>
      </c>
      <c r="E23" s="5" t="n">
        <v>324.38</v>
      </c>
      <c r="F23" s="5" t="n">
        <v>500</v>
      </c>
      <c r="G23" s="5" t="n">
        <v>50</v>
      </c>
      <c r="H23" s="5" t="n">
        <v>1000</v>
      </c>
      <c r="I23" s="5" t="n">
        <v>420</v>
      </c>
      <c r="J23" s="5" t="n">
        <v>180</v>
      </c>
      <c r="K23" s="5" t="n">
        <v>50</v>
      </c>
      <c r="L23" s="5" t="n">
        <v>55</v>
      </c>
      <c r="M23" s="5" t="n">
        <v>70</v>
      </c>
      <c r="N23" s="5" t="n">
        <v>60</v>
      </c>
      <c r="O23" s="5" t="n">
        <v>500</v>
      </c>
      <c r="P23" s="5" t="n">
        <v>25</v>
      </c>
      <c r="Q23" s="5">
        <f>SUM(E23:P23)</f>
        <v/>
      </c>
      <c r="R23" s="5">
        <f>D23-Q23</f>
        <v/>
      </c>
      <c r="S23" s="5">
        <f>MAX(0,R23*0.15)</f>
        <v/>
      </c>
      <c r="T23" s="5">
        <f>R23-S23</f>
        <v/>
      </c>
    </row>
    <row r="24">
      <c r="A24" t="n">
        <v>2</v>
      </c>
      <c r="B24" t="inlineStr">
        <is>
          <t>Octubre</t>
        </is>
      </c>
      <c r="C24" s="5" t="n">
        <v>23982.81</v>
      </c>
      <c r="D24" s="5" t="n">
        <v>3597.42</v>
      </c>
      <c r="E24" s="5" t="n">
        <v>359.74</v>
      </c>
      <c r="F24" s="5" t="n">
        <v>500</v>
      </c>
      <c r="G24" s="5" t="n">
        <v>50</v>
      </c>
      <c r="H24" s="5" t="n">
        <v>1000</v>
      </c>
      <c r="I24" s="5" t="n">
        <v>420</v>
      </c>
      <c r="J24" s="5" t="n">
        <v>180</v>
      </c>
      <c r="K24" s="5" t="n">
        <v>50</v>
      </c>
      <c r="L24" s="5" t="n">
        <v>55</v>
      </c>
      <c r="M24" s="5" t="n">
        <v>70</v>
      </c>
      <c r="N24" s="5" t="n">
        <v>60</v>
      </c>
      <c r="O24" s="5" t="n">
        <v>500</v>
      </c>
      <c r="P24" s="5" t="n">
        <v>25</v>
      </c>
      <c r="Q24" s="5">
        <f>SUM(E24:P24)</f>
        <v/>
      </c>
      <c r="R24" s="5">
        <f>D24-Q24</f>
        <v/>
      </c>
      <c r="S24" s="5">
        <f>MAX(0,R24*0.15)</f>
        <v/>
      </c>
      <c r="T24" s="5">
        <f>R24-S24</f>
        <v/>
      </c>
    </row>
    <row r="25">
      <c r="A25" t="n">
        <v>2</v>
      </c>
      <c r="B25" t="inlineStr">
        <is>
          <t>Noviembre</t>
        </is>
      </c>
      <c r="C25" s="5" t="n">
        <v>20721.47</v>
      </c>
      <c r="D25" s="5" t="n">
        <v>3108.22</v>
      </c>
      <c r="E25" s="5" t="n">
        <v>310.82</v>
      </c>
      <c r="F25" s="5" t="n">
        <v>500</v>
      </c>
      <c r="G25" s="5" t="n">
        <v>50</v>
      </c>
      <c r="H25" s="5" t="n">
        <v>1000</v>
      </c>
      <c r="I25" s="5" t="n">
        <v>420</v>
      </c>
      <c r="J25" s="5" t="n">
        <v>180</v>
      </c>
      <c r="K25" s="5" t="n">
        <v>50</v>
      </c>
      <c r="L25" s="5" t="n">
        <v>55</v>
      </c>
      <c r="M25" s="5" t="n">
        <v>70</v>
      </c>
      <c r="N25" s="5" t="n">
        <v>60</v>
      </c>
      <c r="O25" s="5" t="n">
        <v>500</v>
      </c>
      <c r="P25" s="5" t="n">
        <v>25</v>
      </c>
      <c r="Q25" s="5">
        <f>SUM(E25:P25)</f>
        <v/>
      </c>
      <c r="R25" s="5">
        <f>D25-Q25</f>
        <v/>
      </c>
      <c r="S25" s="5">
        <f>MAX(0,R25*0.15)</f>
        <v/>
      </c>
      <c r="T25" s="5">
        <f>R25-S25</f>
        <v/>
      </c>
    </row>
    <row r="26">
      <c r="A26" t="n">
        <v>2</v>
      </c>
      <c r="B26" t="inlineStr">
        <is>
          <t>Diciembre</t>
        </is>
      </c>
      <c r="C26" s="5" t="n">
        <v>19300.5</v>
      </c>
      <c r="D26" s="5" t="n">
        <v>2895.07</v>
      </c>
      <c r="E26" s="5" t="n">
        <v>289.51</v>
      </c>
      <c r="F26" s="5" t="n">
        <v>500</v>
      </c>
      <c r="G26" s="5" t="n">
        <v>50</v>
      </c>
      <c r="H26" s="5" t="n">
        <v>1000</v>
      </c>
      <c r="I26" s="5" t="n">
        <v>420</v>
      </c>
      <c r="J26" s="5" t="n">
        <v>180</v>
      </c>
      <c r="K26" s="5" t="n">
        <v>50</v>
      </c>
      <c r="L26" s="5" t="n">
        <v>55</v>
      </c>
      <c r="M26" s="5" t="n">
        <v>70</v>
      </c>
      <c r="N26" s="5" t="n">
        <v>60</v>
      </c>
      <c r="O26" s="5" t="n">
        <v>500</v>
      </c>
      <c r="P26" s="5" t="n">
        <v>25</v>
      </c>
      <c r="Q26" s="5">
        <f>SUM(E26:P26)</f>
        <v/>
      </c>
      <c r="R26" s="5">
        <f>D26-Q26</f>
        <v/>
      </c>
      <c r="S26" s="5">
        <f>MAX(0,R26*0.15)</f>
        <v/>
      </c>
      <c r="T26" s="5">
        <f>R26-S26</f>
        <v/>
      </c>
    </row>
    <row r="27">
      <c r="A27" t="n">
        <v>3</v>
      </c>
      <c r="B27" t="inlineStr">
        <is>
          <t>Enero</t>
        </is>
      </c>
      <c r="C27" s="5" t="n">
        <v>15308.24</v>
      </c>
      <c r="D27" s="5" t="n">
        <v>2296.24</v>
      </c>
      <c r="E27" s="5" t="n">
        <v>229.62</v>
      </c>
      <c r="F27" s="5" t="n">
        <v>750</v>
      </c>
      <c r="G27" s="5" t="n">
        <v>50</v>
      </c>
      <c r="H27" s="5" t="n">
        <v>1500</v>
      </c>
      <c r="I27" s="5" t="n">
        <v>500</v>
      </c>
      <c r="J27" s="5" t="n">
        <v>180</v>
      </c>
      <c r="K27" s="5" t="n">
        <v>50</v>
      </c>
      <c r="L27" s="5" t="n">
        <v>55</v>
      </c>
      <c r="M27" s="5" t="n">
        <v>70</v>
      </c>
      <c r="N27" s="5" t="n">
        <v>60</v>
      </c>
      <c r="O27" s="5" t="n">
        <v>500</v>
      </c>
      <c r="P27" s="5" t="n">
        <v>25</v>
      </c>
      <c r="Q27" s="5">
        <f>SUM(E27:P27)</f>
        <v/>
      </c>
      <c r="R27" s="5">
        <f>D27-Q27</f>
        <v/>
      </c>
      <c r="S27" s="5">
        <f>MAX(0,R27*0.15)</f>
        <v/>
      </c>
      <c r="T27" s="5">
        <f>R27-S27</f>
        <v/>
      </c>
    </row>
    <row r="28">
      <c r="A28" t="n">
        <v>3</v>
      </c>
      <c r="B28" t="inlineStr">
        <is>
          <t>Febrero</t>
        </is>
      </c>
      <c r="C28" s="5" t="n">
        <v>21421.52</v>
      </c>
      <c r="D28" s="5" t="n">
        <v>3213.23</v>
      </c>
      <c r="E28" s="5" t="n">
        <v>321.32</v>
      </c>
      <c r="F28" s="5" t="n">
        <v>750</v>
      </c>
      <c r="G28" s="5" t="n">
        <v>50</v>
      </c>
      <c r="H28" s="5" t="n">
        <v>1500</v>
      </c>
      <c r="I28" s="5" t="n">
        <v>500</v>
      </c>
      <c r="J28" s="5" t="n">
        <v>180</v>
      </c>
      <c r="K28" s="5" t="n">
        <v>50</v>
      </c>
      <c r="L28" s="5" t="n">
        <v>55</v>
      </c>
      <c r="M28" s="5" t="n">
        <v>70</v>
      </c>
      <c r="N28" s="5" t="n">
        <v>60</v>
      </c>
      <c r="O28" s="5" t="n">
        <v>500</v>
      </c>
      <c r="P28" s="5" t="n">
        <v>25</v>
      </c>
      <c r="Q28" s="5">
        <f>SUM(E28:P28)</f>
        <v/>
      </c>
      <c r="R28" s="5">
        <f>D28-Q28</f>
        <v/>
      </c>
      <c r="S28" s="5">
        <f>MAX(0,R28*0.15)</f>
        <v/>
      </c>
      <c r="T28" s="5">
        <f>R28-S28</f>
        <v/>
      </c>
    </row>
    <row r="29">
      <c r="A29" t="n">
        <v>3</v>
      </c>
      <c r="B29" t="inlineStr">
        <is>
          <t>Marzo</t>
        </is>
      </c>
      <c r="C29" s="5" t="n">
        <v>31779.05</v>
      </c>
      <c r="D29" s="5" t="n">
        <v>4766.86</v>
      </c>
      <c r="E29" s="5" t="n">
        <v>476.69</v>
      </c>
      <c r="F29" s="5" t="n">
        <v>750</v>
      </c>
      <c r="G29" s="5" t="n">
        <v>50</v>
      </c>
      <c r="H29" s="5" t="n">
        <v>1500</v>
      </c>
      <c r="I29" s="5" t="n">
        <v>500</v>
      </c>
      <c r="J29" s="5" t="n">
        <v>180</v>
      </c>
      <c r="K29" s="5" t="n">
        <v>50</v>
      </c>
      <c r="L29" s="5" t="n">
        <v>55</v>
      </c>
      <c r="M29" s="5" t="n">
        <v>70</v>
      </c>
      <c r="N29" s="5" t="n">
        <v>60</v>
      </c>
      <c r="O29" s="5" t="n">
        <v>500</v>
      </c>
      <c r="P29" s="5" t="n">
        <v>25</v>
      </c>
      <c r="Q29" s="5">
        <f>SUM(E29:P29)</f>
        <v/>
      </c>
      <c r="R29" s="5">
        <f>D29-Q29</f>
        <v/>
      </c>
      <c r="S29" s="5">
        <f>MAX(0,R29*0.15)</f>
        <v/>
      </c>
      <c r="T29" s="5">
        <f>R29-S29</f>
        <v/>
      </c>
    </row>
    <row r="30">
      <c r="A30" t="n">
        <v>3</v>
      </c>
      <c r="B30" t="inlineStr">
        <is>
          <t>Abril</t>
        </is>
      </c>
      <c r="C30" s="5" t="n">
        <v>21694.09</v>
      </c>
      <c r="D30" s="5" t="n">
        <v>3254.11</v>
      </c>
      <c r="E30" s="5" t="n">
        <v>325.41</v>
      </c>
      <c r="F30" s="5" t="n">
        <v>750</v>
      </c>
      <c r="G30" s="5" t="n">
        <v>50</v>
      </c>
      <c r="H30" s="5" t="n">
        <v>1500</v>
      </c>
      <c r="I30" s="5" t="n">
        <v>500</v>
      </c>
      <c r="J30" s="5" t="n">
        <v>180</v>
      </c>
      <c r="K30" s="5" t="n">
        <v>50</v>
      </c>
      <c r="L30" s="5" t="n">
        <v>55</v>
      </c>
      <c r="M30" s="5" t="n">
        <v>70</v>
      </c>
      <c r="N30" s="5" t="n">
        <v>60</v>
      </c>
      <c r="O30" s="5" t="n">
        <v>500</v>
      </c>
      <c r="P30" s="5" t="n">
        <v>25</v>
      </c>
      <c r="Q30" s="5">
        <f>SUM(E30:P30)</f>
        <v/>
      </c>
      <c r="R30" s="5">
        <f>D30-Q30</f>
        <v/>
      </c>
      <c r="S30" s="5">
        <f>MAX(0,R30*0.15)</f>
        <v/>
      </c>
      <c r="T30" s="5">
        <f>R30-S30</f>
        <v/>
      </c>
    </row>
    <row r="31">
      <c r="A31" t="n">
        <v>3</v>
      </c>
      <c r="B31" t="inlineStr">
        <is>
          <t>Mayo</t>
        </is>
      </c>
      <c r="C31" s="5" t="n">
        <v>30811.16</v>
      </c>
      <c r="D31" s="5" t="n">
        <v>4621.67</v>
      </c>
      <c r="E31" s="5" t="n">
        <v>462.17</v>
      </c>
      <c r="F31" s="5" t="n">
        <v>750</v>
      </c>
      <c r="G31" s="5" t="n">
        <v>50</v>
      </c>
      <c r="H31" s="5" t="n">
        <v>1500</v>
      </c>
      <c r="I31" s="5" t="n">
        <v>500</v>
      </c>
      <c r="J31" s="5" t="n">
        <v>180</v>
      </c>
      <c r="K31" s="5" t="n">
        <v>50</v>
      </c>
      <c r="L31" s="5" t="n">
        <v>55</v>
      </c>
      <c r="M31" s="5" t="n">
        <v>70</v>
      </c>
      <c r="N31" s="5" t="n">
        <v>60</v>
      </c>
      <c r="O31" s="5" t="n">
        <v>500</v>
      </c>
      <c r="P31" s="5" t="n">
        <v>25</v>
      </c>
      <c r="Q31" s="5">
        <f>SUM(E31:P31)</f>
        <v/>
      </c>
      <c r="R31" s="5">
        <f>D31-Q31</f>
        <v/>
      </c>
      <c r="S31" s="5">
        <f>MAX(0,R31*0.15)</f>
        <v/>
      </c>
      <c r="T31" s="5">
        <f>R31-S31</f>
        <v/>
      </c>
    </row>
    <row r="32">
      <c r="A32" t="n">
        <v>3</v>
      </c>
      <c r="B32" t="inlineStr">
        <is>
          <t>Junio</t>
        </is>
      </c>
      <c r="C32" s="5" t="n">
        <v>33041.76</v>
      </c>
      <c r="D32" s="5" t="n">
        <v>4956.26</v>
      </c>
      <c r="E32" s="5" t="n">
        <v>495.63</v>
      </c>
      <c r="F32" s="5" t="n">
        <v>750</v>
      </c>
      <c r="G32" s="5" t="n">
        <v>50</v>
      </c>
      <c r="H32" s="5" t="n">
        <v>1500</v>
      </c>
      <c r="I32" s="5" t="n">
        <v>500</v>
      </c>
      <c r="J32" s="5" t="n">
        <v>180</v>
      </c>
      <c r="K32" s="5" t="n">
        <v>50</v>
      </c>
      <c r="L32" s="5" t="n">
        <v>55</v>
      </c>
      <c r="M32" s="5" t="n">
        <v>70</v>
      </c>
      <c r="N32" s="5" t="n">
        <v>60</v>
      </c>
      <c r="O32" s="5" t="n">
        <v>500</v>
      </c>
      <c r="P32" s="5" t="n">
        <v>25</v>
      </c>
      <c r="Q32" s="5">
        <f>SUM(E32:P32)</f>
        <v/>
      </c>
      <c r="R32" s="5">
        <f>D32-Q32</f>
        <v/>
      </c>
      <c r="S32" s="5">
        <f>MAX(0,R32*0.15)</f>
        <v/>
      </c>
      <c r="T32" s="5">
        <f>R32-S32</f>
        <v/>
      </c>
    </row>
    <row r="33">
      <c r="A33" t="n">
        <v>3</v>
      </c>
      <c r="B33" t="inlineStr">
        <is>
          <t>Julio</t>
        </is>
      </c>
      <c r="C33" s="5" t="n">
        <v>46614.47</v>
      </c>
      <c r="D33" s="5" t="n">
        <v>6992.17</v>
      </c>
      <c r="E33" s="5" t="n">
        <v>699.22</v>
      </c>
      <c r="F33" s="5" t="n">
        <v>750</v>
      </c>
      <c r="G33" s="5" t="n">
        <v>50</v>
      </c>
      <c r="H33" s="5" t="n">
        <v>1500</v>
      </c>
      <c r="I33" s="5" t="n">
        <v>500</v>
      </c>
      <c r="J33" s="5" t="n">
        <v>180</v>
      </c>
      <c r="K33" s="5" t="n">
        <v>50</v>
      </c>
      <c r="L33" s="5" t="n">
        <v>55</v>
      </c>
      <c r="M33" s="5" t="n">
        <v>70</v>
      </c>
      <c r="N33" s="5" t="n">
        <v>60</v>
      </c>
      <c r="O33" s="5" t="n">
        <v>500</v>
      </c>
      <c r="P33" s="5" t="n">
        <v>25</v>
      </c>
      <c r="Q33" s="5">
        <f>SUM(E33:P33)</f>
        <v/>
      </c>
      <c r="R33" s="5">
        <f>D33-Q33</f>
        <v/>
      </c>
      <c r="S33" s="5">
        <f>MAX(0,R33*0.15)</f>
        <v/>
      </c>
      <c r="T33" s="5">
        <f>R33-S33</f>
        <v/>
      </c>
    </row>
    <row r="34">
      <c r="A34" t="n">
        <v>3</v>
      </c>
      <c r="B34" t="inlineStr">
        <is>
          <t>Agosto</t>
        </is>
      </c>
      <c r="C34" s="5" t="n">
        <v>67590.98</v>
      </c>
      <c r="D34" s="5" t="n">
        <v>10138.65</v>
      </c>
      <c r="E34" s="5" t="n">
        <v>1013.86</v>
      </c>
      <c r="F34" s="5" t="n">
        <v>750</v>
      </c>
      <c r="G34" s="5" t="n">
        <v>50</v>
      </c>
      <c r="H34" s="5" t="n">
        <v>1500</v>
      </c>
      <c r="I34" s="5" t="n">
        <v>500</v>
      </c>
      <c r="J34" s="5" t="n">
        <v>180</v>
      </c>
      <c r="K34" s="5" t="n">
        <v>50</v>
      </c>
      <c r="L34" s="5" t="n">
        <v>55</v>
      </c>
      <c r="M34" s="5" t="n">
        <v>70</v>
      </c>
      <c r="N34" s="5" t="n">
        <v>60</v>
      </c>
      <c r="O34" s="5" t="n">
        <v>500</v>
      </c>
      <c r="P34" s="5" t="n">
        <v>25</v>
      </c>
      <c r="Q34" s="5">
        <f>SUM(E34:P34)</f>
        <v/>
      </c>
      <c r="R34" s="5">
        <f>D34-Q34</f>
        <v/>
      </c>
      <c r="S34" s="5">
        <f>MAX(0,R34*0.15)</f>
        <v/>
      </c>
      <c r="T34" s="5">
        <f>R34-S34</f>
        <v/>
      </c>
    </row>
    <row r="35">
      <c r="A35" t="n">
        <v>3</v>
      </c>
      <c r="B35" t="inlineStr">
        <is>
          <t>Septiembre</t>
        </is>
      </c>
      <c r="C35" s="5" t="n">
        <v>33269.83</v>
      </c>
      <c r="D35" s="5" t="n">
        <v>4990.47</v>
      </c>
      <c r="E35" s="5" t="n">
        <v>499.05</v>
      </c>
      <c r="F35" s="5" t="n">
        <v>750</v>
      </c>
      <c r="G35" s="5" t="n">
        <v>50</v>
      </c>
      <c r="H35" s="5" t="n">
        <v>1500</v>
      </c>
      <c r="I35" s="5" t="n">
        <v>500</v>
      </c>
      <c r="J35" s="5" t="n">
        <v>180</v>
      </c>
      <c r="K35" s="5" t="n">
        <v>50</v>
      </c>
      <c r="L35" s="5" t="n">
        <v>55</v>
      </c>
      <c r="M35" s="5" t="n">
        <v>70</v>
      </c>
      <c r="N35" s="5" t="n">
        <v>60</v>
      </c>
      <c r="O35" s="5" t="n">
        <v>500</v>
      </c>
      <c r="P35" s="5" t="n">
        <v>25</v>
      </c>
      <c r="Q35" s="5">
        <f>SUM(E35:P35)</f>
        <v/>
      </c>
      <c r="R35" s="5">
        <f>D35-Q35</f>
        <v/>
      </c>
      <c r="S35" s="5">
        <f>MAX(0,R35*0.15)</f>
        <v/>
      </c>
      <c r="T35" s="5">
        <f>R35-S35</f>
        <v/>
      </c>
    </row>
    <row r="36">
      <c r="A36" t="n">
        <v>3</v>
      </c>
      <c r="B36" t="inlineStr">
        <is>
          <t>Octubre</t>
        </is>
      </c>
      <c r="C36" s="5" t="n">
        <v>36896.63</v>
      </c>
      <c r="D36" s="5" t="n">
        <v>5534.49</v>
      </c>
      <c r="E36" s="5" t="n">
        <v>553.45</v>
      </c>
      <c r="F36" s="5" t="n">
        <v>750</v>
      </c>
      <c r="G36" s="5" t="n">
        <v>50</v>
      </c>
      <c r="H36" s="5" t="n">
        <v>1500</v>
      </c>
      <c r="I36" s="5" t="n">
        <v>500</v>
      </c>
      <c r="J36" s="5" t="n">
        <v>180</v>
      </c>
      <c r="K36" s="5" t="n">
        <v>50</v>
      </c>
      <c r="L36" s="5" t="n">
        <v>55</v>
      </c>
      <c r="M36" s="5" t="n">
        <v>70</v>
      </c>
      <c r="N36" s="5" t="n">
        <v>60</v>
      </c>
      <c r="O36" s="5" t="n">
        <v>500</v>
      </c>
      <c r="P36" s="5" t="n">
        <v>25</v>
      </c>
      <c r="Q36" s="5">
        <f>SUM(E36:P36)</f>
        <v/>
      </c>
      <c r="R36" s="5">
        <f>D36-Q36</f>
        <v/>
      </c>
      <c r="S36" s="5">
        <f>MAX(0,R36*0.15)</f>
        <v/>
      </c>
      <c r="T36" s="5">
        <f>R36-S36</f>
        <v/>
      </c>
    </row>
    <row r="37">
      <c r="A37" t="n">
        <v>3</v>
      </c>
      <c r="B37" t="inlineStr">
        <is>
          <t>Noviembre</t>
        </is>
      </c>
      <c r="C37" s="5" t="n">
        <v>31879.18</v>
      </c>
      <c r="D37" s="5" t="n">
        <v>4781.88</v>
      </c>
      <c r="E37" s="5" t="n">
        <v>478.19</v>
      </c>
      <c r="F37" s="5" t="n">
        <v>750</v>
      </c>
      <c r="G37" s="5" t="n">
        <v>50</v>
      </c>
      <c r="H37" s="5" t="n">
        <v>1500</v>
      </c>
      <c r="I37" s="5" t="n">
        <v>500</v>
      </c>
      <c r="J37" s="5" t="n">
        <v>180</v>
      </c>
      <c r="K37" s="5" t="n">
        <v>50</v>
      </c>
      <c r="L37" s="5" t="n">
        <v>55</v>
      </c>
      <c r="M37" s="5" t="n">
        <v>70</v>
      </c>
      <c r="N37" s="5" t="n">
        <v>60</v>
      </c>
      <c r="O37" s="5" t="n">
        <v>500</v>
      </c>
      <c r="P37" s="5" t="n">
        <v>25</v>
      </c>
      <c r="Q37" s="5">
        <f>SUM(E37:P37)</f>
        <v/>
      </c>
      <c r="R37" s="5">
        <f>D37-Q37</f>
        <v/>
      </c>
      <c r="S37" s="5">
        <f>MAX(0,R37*0.15)</f>
        <v/>
      </c>
      <c r="T37" s="5">
        <f>R37-S37</f>
        <v/>
      </c>
    </row>
    <row r="38">
      <c r="A38" t="n">
        <v>3</v>
      </c>
      <c r="B38" t="inlineStr">
        <is>
          <t>Diciembre</t>
        </is>
      </c>
      <c r="C38" s="5" t="n">
        <v>29693.08</v>
      </c>
      <c r="D38" s="5" t="n">
        <v>4453.96</v>
      </c>
      <c r="E38" s="5" t="n">
        <v>445.4</v>
      </c>
      <c r="F38" s="5" t="n">
        <v>750</v>
      </c>
      <c r="G38" s="5" t="n">
        <v>50</v>
      </c>
      <c r="H38" s="5" t="n">
        <v>1500</v>
      </c>
      <c r="I38" s="5" t="n">
        <v>500</v>
      </c>
      <c r="J38" s="5" t="n">
        <v>180</v>
      </c>
      <c r="K38" s="5" t="n">
        <v>50</v>
      </c>
      <c r="L38" s="5" t="n">
        <v>55</v>
      </c>
      <c r="M38" s="5" t="n">
        <v>70</v>
      </c>
      <c r="N38" s="5" t="n">
        <v>60</v>
      </c>
      <c r="O38" s="5" t="n">
        <v>500</v>
      </c>
      <c r="P38" s="5" t="n">
        <v>25</v>
      </c>
      <c r="Q38" s="5">
        <f>SUM(E38:P38)</f>
        <v/>
      </c>
      <c r="R38" s="5">
        <f>D38-Q38</f>
        <v/>
      </c>
      <c r="S38" s="5">
        <f>MAX(0,R38*0.15)</f>
        <v/>
      </c>
      <c r="T38" s="5">
        <f>R38-S38</f>
        <v/>
      </c>
    </row>
    <row r="39">
      <c r="A39" t="n">
        <v>4</v>
      </c>
      <c r="B39" t="inlineStr">
        <is>
          <t>Enero</t>
        </is>
      </c>
      <c r="C39" s="5" t="n">
        <v>19900.71</v>
      </c>
      <c r="D39" s="5" t="n">
        <v>2985.11</v>
      </c>
      <c r="E39" s="5" t="n">
        <v>298.51</v>
      </c>
      <c r="F39" s="5" t="n">
        <v>1000</v>
      </c>
      <c r="G39" s="5" t="n">
        <v>50</v>
      </c>
      <c r="H39" s="5" t="n">
        <v>1667</v>
      </c>
      <c r="I39" s="5" t="n">
        <v>580</v>
      </c>
      <c r="J39" s="5" t="n">
        <v>180</v>
      </c>
      <c r="K39" s="5" t="n">
        <v>50</v>
      </c>
      <c r="L39" s="5" t="n">
        <v>55</v>
      </c>
      <c r="M39" s="5" t="n">
        <v>70</v>
      </c>
      <c r="N39" s="5" t="n">
        <v>60</v>
      </c>
      <c r="O39" s="5" t="n">
        <v>500</v>
      </c>
      <c r="P39" s="5" t="n">
        <v>25</v>
      </c>
      <c r="Q39" s="5">
        <f>SUM(E39:P39)</f>
        <v/>
      </c>
      <c r="R39" s="5">
        <f>D39-Q39</f>
        <v/>
      </c>
      <c r="S39" s="5">
        <f>MAX(0,R39*0.15)</f>
        <v/>
      </c>
      <c r="T39" s="5">
        <f>R39-S39</f>
        <v/>
      </c>
    </row>
    <row r="40">
      <c r="A40" t="n">
        <v>4</v>
      </c>
      <c r="B40" t="inlineStr">
        <is>
          <t>Febrero</t>
        </is>
      </c>
      <c r="C40" s="5" t="n">
        <v>27847.97</v>
      </c>
      <c r="D40" s="5" t="n">
        <v>4177.2</v>
      </c>
      <c r="E40" s="5" t="n">
        <v>417.72</v>
      </c>
      <c r="F40" s="5" t="n">
        <v>1000</v>
      </c>
      <c r="G40" s="5" t="n">
        <v>50</v>
      </c>
      <c r="H40" s="5" t="n">
        <v>1667</v>
      </c>
      <c r="I40" s="5" t="n">
        <v>580</v>
      </c>
      <c r="J40" s="5" t="n">
        <v>180</v>
      </c>
      <c r="K40" s="5" t="n">
        <v>50</v>
      </c>
      <c r="L40" s="5" t="n">
        <v>55</v>
      </c>
      <c r="M40" s="5" t="n">
        <v>70</v>
      </c>
      <c r="N40" s="5" t="n">
        <v>60</v>
      </c>
      <c r="O40" s="5" t="n">
        <v>500</v>
      </c>
      <c r="P40" s="5" t="n">
        <v>25</v>
      </c>
      <c r="Q40" s="5">
        <f>SUM(E40:P40)</f>
        <v/>
      </c>
      <c r="R40" s="5">
        <f>D40-Q40</f>
        <v/>
      </c>
      <c r="S40" s="5">
        <f>MAX(0,R40*0.15)</f>
        <v/>
      </c>
      <c r="T40" s="5">
        <f>R40-S40</f>
        <v/>
      </c>
    </row>
    <row r="41">
      <c r="A41" t="n">
        <v>4</v>
      </c>
      <c r="B41" t="inlineStr">
        <is>
          <t>Marzo</t>
        </is>
      </c>
      <c r="C41" s="5" t="n">
        <v>41312.77</v>
      </c>
      <c r="D41" s="5" t="n">
        <v>6196.92</v>
      </c>
      <c r="E41" s="5" t="n">
        <v>619.6900000000001</v>
      </c>
      <c r="F41" s="5" t="n">
        <v>1000</v>
      </c>
      <c r="G41" s="5" t="n">
        <v>50</v>
      </c>
      <c r="H41" s="5" t="n">
        <v>1667</v>
      </c>
      <c r="I41" s="5" t="n">
        <v>580</v>
      </c>
      <c r="J41" s="5" t="n">
        <v>180</v>
      </c>
      <c r="K41" s="5" t="n">
        <v>50</v>
      </c>
      <c r="L41" s="5" t="n">
        <v>55</v>
      </c>
      <c r="M41" s="5" t="n">
        <v>70</v>
      </c>
      <c r="N41" s="5" t="n">
        <v>60</v>
      </c>
      <c r="O41" s="5" t="n">
        <v>500</v>
      </c>
      <c r="P41" s="5" t="n">
        <v>25</v>
      </c>
      <c r="Q41" s="5">
        <f>SUM(E41:P41)</f>
        <v/>
      </c>
      <c r="R41" s="5">
        <f>D41-Q41</f>
        <v/>
      </c>
      <c r="S41" s="5">
        <f>MAX(0,R41*0.15)</f>
        <v/>
      </c>
      <c r="T41" s="5">
        <f>R41-S41</f>
        <v/>
      </c>
    </row>
    <row r="42">
      <c r="A42" t="n">
        <v>4</v>
      </c>
      <c r="B42" t="inlineStr">
        <is>
          <t>Abril</t>
        </is>
      </c>
      <c r="C42" s="5" t="n">
        <v>28202.31</v>
      </c>
      <c r="D42" s="5" t="n">
        <v>4230.35</v>
      </c>
      <c r="E42" s="5" t="n">
        <v>423.03</v>
      </c>
      <c r="F42" s="5" t="n">
        <v>1000</v>
      </c>
      <c r="G42" s="5" t="n">
        <v>50</v>
      </c>
      <c r="H42" s="5" t="n">
        <v>1667</v>
      </c>
      <c r="I42" s="5" t="n">
        <v>580</v>
      </c>
      <c r="J42" s="5" t="n">
        <v>180</v>
      </c>
      <c r="K42" s="5" t="n">
        <v>50</v>
      </c>
      <c r="L42" s="5" t="n">
        <v>55</v>
      </c>
      <c r="M42" s="5" t="n">
        <v>70</v>
      </c>
      <c r="N42" s="5" t="n">
        <v>60</v>
      </c>
      <c r="O42" s="5" t="n">
        <v>500</v>
      </c>
      <c r="P42" s="5" t="n">
        <v>25</v>
      </c>
      <c r="Q42" s="5">
        <f>SUM(E42:P42)</f>
        <v/>
      </c>
      <c r="R42" s="5">
        <f>D42-Q42</f>
        <v/>
      </c>
      <c r="S42" s="5">
        <f>MAX(0,R42*0.15)</f>
        <v/>
      </c>
      <c r="T42" s="5">
        <f>R42-S42</f>
        <v/>
      </c>
    </row>
    <row r="43">
      <c r="A43" t="n">
        <v>4</v>
      </c>
      <c r="B43" t="inlineStr">
        <is>
          <t>Mayo</t>
        </is>
      </c>
      <c r="C43" s="5" t="n">
        <v>40054.51</v>
      </c>
      <c r="D43" s="5" t="n">
        <v>6008.18</v>
      </c>
      <c r="E43" s="5" t="n">
        <v>600.8200000000001</v>
      </c>
      <c r="F43" s="5" t="n">
        <v>1000</v>
      </c>
      <c r="G43" s="5" t="n">
        <v>50</v>
      </c>
      <c r="H43" s="5" t="n">
        <v>1667</v>
      </c>
      <c r="I43" s="5" t="n">
        <v>580</v>
      </c>
      <c r="J43" s="5" t="n">
        <v>180</v>
      </c>
      <c r="K43" s="5" t="n">
        <v>50</v>
      </c>
      <c r="L43" s="5" t="n">
        <v>55</v>
      </c>
      <c r="M43" s="5" t="n">
        <v>70</v>
      </c>
      <c r="N43" s="5" t="n">
        <v>60</v>
      </c>
      <c r="O43" s="5" t="n">
        <v>500</v>
      </c>
      <c r="P43" s="5" t="n">
        <v>25</v>
      </c>
      <c r="Q43" s="5">
        <f>SUM(E43:P43)</f>
        <v/>
      </c>
      <c r="R43" s="5">
        <f>D43-Q43</f>
        <v/>
      </c>
      <c r="S43" s="5">
        <f>MAX(0,R43*0.15)</f>
        <v/>
      </c>
      <c r="T43" s="5">
        <f>R43-S43</f>
        <v/>
      </c>
    </row>
    <row r="44">
      <c r="A44" t="n">
        <v>4</v>
      </c>
      <c r="B44" t="inlineStr">
        <is>
          <t>Junio</t>
        </is>
      </c>
      <c r="C44" s="5" t="n">
        <v>42954.29</v>
      </c>
      <c r="D44" s="5" t="n">
        <v>6443.14</v>
      </c>
      <c r="E44" s="5" t="n">
        <v>644.3099999999999</v>
      </c>
      <c r="F44" s="5" t="n">
        <v>1000</v>
      </c>
      <c r="G44" s="5" t="n">
        <v>50</v>
      </c>
      <c r="H44" s="5" t="n">
        <v>1667</v>
      </c>
      <c r="I44" s="5" t="n">
        <v>580</v>
      </c>
      <c r="J44" s="5" t="n">
        <v>180</v>
      </c>
      <c r="K44" s="5" t="n">
        <v>50</v>
      </c>
      <c r="L44" s="5" t="n">
        <v>55</v>
      </c>
      <c r="M44" s="5" t="n">
        <v>70</v>
      </c>
      <c r="N44" s="5" t="n">
        <v>60</v>
      </c>
      <c r="O44" s="5" t="n">
        <v>500</v>
      </c>
      <c r="P44" s="5" t="n">
        <v>25</v>
      </c>
      <c r="Q44" s="5">
        <f>SUM(E44:P44)</f>
        <v/>
      </c>
      <c r="R44" s="5">
        <f>D44-Q44</f>
        <v/>
      </c>
      <c r="S44" s="5">
        <f>MAX(0,R44*0.15)</f>
        <v/>
      </c>
      <c r="T44" s="5">
        <f>R44-S44</f>
        <v/>
      </c>
    </row>
    <row r="45">
      <c r="A45" t="n">
        <v>4</v>
      </c>
      <c r="B45" t="inlineStr">
        <is>
          <t>Julio</t>
        </is>
      </c>
      <c r="C45" s="5" t="n">
        <v>60598.81</v>
      </c>
      <c r="D45" s="5" t="n">
        <v>9089.82</v>
      </c>
      <c r="E45" s="5" t="n">
        <v>908.98</v>
      </c>
      <c r="F45" s="5" t="n">
        <v>1000</v>
      </c>
      <c r="G45" s="5" t="n">
        <v>50</v>
      </c>
      <c r="H45" s="5" t="n">
        <v>1667</v>
      </c>
      <c r="I45" s="5" t="n">
        <v>580</v>
      </c>
      <c r="J45" s="5" t="n">
        <v>180</v>
      </c>
      <c r="K45" s="5" t="n">
        <v>50</v>
      </c>
      <c r="L45" s="5" t="n">
        <v>55</v>
      </c>
      <c r="M45" s="5" t="n">
        <v>70</v>
      </c>
      <c r="N45" s="5" t="n">
        <v>60</v>
      </c>
      <c r="O45" s="5" t="n">
        <v>500</v>
      </c>
      <c r="P45" s="5" t="n">
        <v>25</v>
      </c>
      <c r="Q45" s="5">
        <f>SUM(E45:P45)</f>
        <v/>
      </c>
      <c r="R45" s="5">
        <f>D45-Q45</f>
        <v/>
      </c>
      <c r="S45" s="5">
        <f>MAX(0,R45*0.15)</f>
        <v/>
      </c>
      <c r="T45" s="5">
        <f>R45-S45</f>
        <v/>
      </c>
    </row>
    <row r="46">
      <c r="A46" t="n">
        <v>4</v>
      </c>
      <c r="B46" t="inlineStr">
        <is>
          <t>Agosto</t>
        </is>
      </c>
      <c r="C46" s="5" t="n">
        <v>87868.28</v>
      </c>
      <c r="D46" s="5" t="n">
        <v>13180.24</v>
      </c>
      <c r="E46" s="5" t="n">
        <v>1318.02</v>
      </c>
      <c r="F46" s="5" t="n">
        <v>1000</v>
      </c>
      <c r="G46" s="5" t="n">
        <v>50</v>
      </c>
      <c r="H46" s="5" t="n">
        <v>1667</v>
      </c>
      <c r="I46" s="5" t="n">
        <v>580</v>
      </c>
      <c r="J46" s="5" t="n">
        <v>180</v>
      </c>
      <c r="K46" s="5" t="n">
        <v>50</v>
      </c>
      <c r="L46" s="5" t="n">
        <v>55</v>
      </c>
      <c r="M46" s="5" t="n">
        <v>70</v>
      </c>
      <c r="N46" s="5" t="n">
        <v>60</v>
      </c>
      <c r="O46" s="5" t="n">
        <v>500</v>
      </c>
      <c r="P46" s="5" t="n">
        <v>25</v>
      </c>
      <c r="Q46" s="5">
        <f>SUM(E46:P46)</f>
        <v/>
      </c>
      <c r="R46" s="5">
        <f>D46-Q46</f>
        <v/>
      </c>
      <c r="S46" s="5">
        <f>MAX(0,R46*0.15)</f>
        <v/>
      </c>
      <c r="T46" s="5">
        <f>R46-S46</f>
        <v/>
      </c>
    </row>
    <row r="47">
      <c r="A47" t="n">
        <v>4</v>
      </c>
      <c r="B47" t="inlineStr">
        <is>
          <t>Septiembre</t>
        </is>
      </c>
      <c r="C47" s="5" t="n">
        <v>43250.78</v>
      </c>
      <c r="D47" s="5" t="n">
        <v>6487.62</v>
      </c>
      <c r="E47" s="5" t="n">
        <v>648.76</v>
      </c>
      <c r="F47" s="5" t="n">
        <v>1000</v>
      </c>
      <c r="G47" s="5" t="n">
        <v>50</v>
      </c>
      <c r="H47" s="5" t="n">
        <v>1667</v>
      </c>
      <c r="I47" s="5" t="n">
        <v>580</v>
      </c>
      <c r="J47" s="5" t="n">
        <v>180</v>
      </c>
      <c r="K47" s="5" t="n">
        <v>50</v>
      </c>
      <c r="L47" s="5" t="n">
        <v>55</v>
      </c>
      <c r="M47" s="5" t="n">
        <v>70</v>
      </c>
      <c r="N47" s="5" t="n">
        <v>60</v>
      </c>
      <c r="O47" s="5" t="n">
        <v>500</v>
      </c>
      <c r="P47" s="5" t="n">
        <v>25</v>
      </c>
      <c r="Q47" s="5">
        <f>SUM(E47:P47)</f>
        <v/>
      </c>
      <c r="R47" s="5">
        <f>D47-Q47</f>
        <v/>
      </c>
      <c r="S47" s="5">
        <f>MAX(0,R47*0.15)</f>
        <v/>
      </c>
      <c r="T47" s="5">
        <f>R47-S47</f>
        <v/>
      </c>
    </row>
    <row r="48">
      <c r="A48" t="n">
        <v>4</v>
      </c>
      <c r="B48" t="inlineStr">
        <is>
          <t>Octubre</t>
        </is>
      </c>
      <c r="C48" s="5" t="n">
        <v>47965.62</v>
      </c>
      <c r="D48" s="5" t="n">
        <v>7194.84</v>
      </c>
      <c r="E48" s="5" t="n">
        <v>719.48</v>
      </c>
      <c r="F48" s="5" t="n">
        <v>1000</v>
      </c>
      <c r="G48" s="5" t="n">
        <v>50</v>
      </c>
      <c r="H48" s="5" t="n">
        <v>1667</v>
      </c>
      <c r="I48" s="5" t="n">
        <v>580</v>
      </c>
      <c r="J48" s="5" t="n">
        <v>180</v>
      </c>
      <c r="K48" s="5" t="n">
        <v>50</v>
      </c>
      <c r="L48" s="5" t="n">
        <v>55</v>
      </c>
      <c r="M48" s="5" t="n">
        <v>70</v>
      </c>
      <c r="N48" s="5" t="n">
        <v>60</v>
      </c>
      <c r="O48" s="5" t="n">
        <v>500</v>
      </c>
      <c r="P48" s="5" t="n">
        <v>25</v>
      </c>
      <c r="Q48" s="5">
        <f>SUM(E48:P48)</f>
        <v/>
      </c>
      <c r="R48" s="5">
        <f>D48-Q48</f>
        <v/>
      </c>
      <c r="S48" s="5">
        <f>MAX(0,R48*0.15)</f>
        <v/>
      </c>
      <c r="T48" s="5">
        <f>R48-S48</f>
        <v/>
      </c>
    </row>
    <row r="49">
      <c r="A49" t="n">
        <v>4</v>
      </c>
      <c r="B49" t="inlineStr">
        <is>
          <t>Noviembre</t>
        </is>
      </c>
      <c r="C49" s="5" t="n">
        <v>41442.93</v>
      </c>
      <c r="D49" s="5" t="n">
        <v>6216.44</v>
      </c>
      <c r="E49" s="5" t="n">
        <v>621.64</v>
      </c>
      <c r="F49" s="5" t="n">
        <v>1000</v>
      </c>
      <c r="G49" s="5" t="n">
        <v>50</v>
      </c>
      <c r="H49" s="5" t="n">
        <v>1667</v>
      </c>
      <c r="I49" s="5" t="n">
        <v>580</v>
      </c>
      <c r="J49" s="5" t="n">
        <v>180</v>
      </c>
      <c r="K49" s="5" t="n">
        <v>50</v>
      </c>
      <c r="L49" s="5" t="n">
        <v>55</v>
      </c>
      <c r="M49" s="5" t="n">
        <v>70</v>
      </c>
      <c r="N49" s="5" t="n">
        <v>60</v>
      </c>
      <c r="O49" s="5" t="n">
        <v>500</v>
      </c>
      <c r="P49" s="5" t="n">
        <v>25</v>
      </c>
      <c r="Q49" s="5">
        <f>SUM(E49:P49)</f>
        <v/>
      </c>
      <c r="R49" s="5">
        <f>D49-Q49</f>
        <v/>
      </c>
      <c r="S49" s="5">
        <f>MAX(0,R49*0.15)</f>
        <v/>
      </c>
      <c r="T49" s="5">
        <f>R49-S49</f>
        <v/>
      </c>
    </row>
    <row r="50">
      <c r="A50" t="n">
        <v>4</v>
      </c>
      <c r="B50" t="inlineStr">
        <is>
          <t>Diciembre</t>
        </is>
      </c>
      <c r="C50" s="5" t="n">
        <v>38601.01</v>
      </c>
      <c r="D50" s="5" t="n">
        <v>5790.15</v>
      </c>
      <c r="E50" s="5" t="n">
        <v>579.02</v>
      </c>
      <c r="F50" s="5" t="n">
        <v>1000</v>
      </c>
      <c r="G50" s="5" t="n">
        <v>50</v>
      </c>
      <c r="H50" s="5" t="n">
        <v>1667</v>
      </c>
      <c r="I50" s="5" t="n">
        <v>580</v>
      </c>
      <c r="J50" s="5" t="n">
        <v>180</v>
      </c>
      <c r="K50" s="5" t="n">
        <v>50</v>
      </c>
      <c r="L50" s="5" t="n">
        <v>55</v>
      </c>
      <c r="M50" s="5" t="n">
        <v>70</v>
      </c>
      <c r="N50" s="5" t="n">
        <v>60</v>
      </c>
      <c r="O50" s="5" t="n">
        <v>500</v>
      </c>
      <c r="P50" s="5" t="n">
        <v>25</v>
      </c>
      <c r="Q50" s="5">
        <f>SUM(E50:P50)</f>
        <v/>
      </c>
      <c r="R50" s="5">
        <f>D50-Q50</f>
        <v/>
      </c>
      <c r="S50" s="5">
        <f>MAX(0,R50*0.15)</f>
        <v/>
      </c>
      <c r="T50" s="5">
        <f>R50-S50</f>
        <v/>
      </c>
    </row>
    <row r="51">
      <c r="A51" t="n">
        <v>5</v>
      </c>
      <c r="B51" t="inlineStr">
        <is>
          <t>Enero</t>
        </is>
      </c>
      <c r="C51" s="5" t="n">
        <v>26024</v>
      </c>
      <c r="D51" s="5" t="n">
        <v>3903.6</v>
      </c>
      <c r="E51" s="5" t="n">
        <v>390.36</v>
      </c>
      <c r="F51" s="5" t="n">
        <v>1000</v>
      </c>
      <c r="G51" s="5" t="n">
        <v>50</v>
      </c>
      <c r="H51" s="5" t="n">
        <v>1833</v>
      </c>
      <c r="I51" s="5" t="n">
        <v>670</v>
      </c>
      <c r="J51" s="5" t="n">
        <v>180</v>
      </c>
      <c r="K51" s="5" t="n">
        <v>50</v>
      </c>
      <c r="L51" s="5" t="n">
        <v>55</v>
      </c>
      <c r="M51" s="5" t="n">
        <v>70</v>
      </c>
      <c r="N51" s="5" t="n">
        <v>60</v>
      </c>
      <c r="O51" s="5" t="n">
        <v>500</v>
      </c>
      <c r="P51" s="5" t="n">
        <v>25</v>
      </c>
      <c r="Q51" s="5">
        <f>SUM(E51:P51)</f>
        <v/>
      </c>
      <c r="R51" s="5">
        <f>D51-Q51</f>
        <v/>
      </c>
      <c r="S51" s="5">
        <f>MAX(0,R51*0.15)</f>
        <v/>
      </c>
      <c r="T51" s="5">
        <f>R51-S51</f>
        <v/>
      </c>
    </row>
    <row r="52">
      <c r="A52" t="n">
        <v>5</v>
      </c>
      <c r="B52" t="inlineStr">
        <is>
          <t>Febrero</t>
        </is>
      </c>
      <c r="C52" s="5" t="n">
        <v>36416.58</v>
      </c>
      <c r="D52" s="5" t="n">
        <v>5462.49</v>
      </c>
      <c r="E52" s="5" t="n">
        <v>546.25</v>
      </c>
      <c r="F52" s="5" t="n">
        <v>1000</v>
      </c>
      <c r="G52" s="5" t="n">
        <v>50</v>
      </c>
      <c r="H52" s="5" t="n">
        <v>1833</v>
      </c>
      <c r="I52" s="5" t="n">
        <v>670</v>
      </c>
      <c r="J52" s="5" t="n">
        <v>180</v>
      </c>
      <c r="K52" s="5" t="n">
        <v>50</v>
      </c>
      <c r="L52" s="5" t="n">
        <v>55</v>
      </c>
      <c r="M52" s="5" t="n">
        <v>70</v>
      </c>
      <c r="N52" s="5" t="n">
        <v>60</v>
      </c>
      <c r="O52" s="5" t="n">
        <v>500</v>
      </c>
      <c r="P52" s="5" t="n">
        <v>25</v>
      </c>
      <c r="Q52" s="5">
        <f>SUM(E52:P52)</f>
        <v/>
      </c>
      <c r="R52" s="5">
        <f>D52-Q52</f>
        <v/>
      </c>
      <c r="S52" s="5">
        <f>MAX(0,R52*0.15)</f>
        <v/>
      </c>
      <c r="T52" s="5">
        <f>R52-S52</f>
        <v/>
      </c>
    </row>
    <row r="53">
      <c r="A53" t="n">
        <v>5</v>
      </c>
      <c r="B53" t="inlineStr">
        <is>
          <t>Marzo</t>
        </is>
      </c>
      <c r="C53" s="5" t="n">
        <v>54024.39</v>
      </c>
      <c r="D53" s="5" t="n">
        <v>8103.66</v>
      </c>
      <c r="E53" s="5" t="n">
        <v>810.37</v>
      </c>
      <c r="F53" s="5" t="n">
        <v>1000</v>
      </c>
      <c r="G53" s="5" t="n">
        <v>50</v>
      </c>
      <c r="H53" s="5" t="n">
        <v>1833</v>
      </c>
      <c r="I53" s="5" t="n">
        <v>670</v>
      </c>
      <c r="J53" s="5" t="n">
        <v>180</v>
      </c>
      <c r="K53" s="5" t="n">
        <v>50</v>
      </c>
      <c r="L53" s="5" t="n">
        <v>55</v>
      </c>
      <c r="M53" s="5" t="n">
        <v>70</v>
      </c>
      <c r="N53" s="5" t="n">
        <v>60</v>
      </c>
      <c r="O53" s="5" t="n">
        <v>500</v>
      </c>
      <c r="P53" s="5" t="n">
        <v>25</v>
      </c>
      <c r="Q53" s="5">
        <f>SUM(E53:P53)</f>
        <v/>
      </c>
      <c r="R53" s="5">
        <f>D53-Q53</f>
        <v/>
      </c>
      <c r="S53" s="5">
        <f>MAX(0,R53*0.15)</f>
        <v/>
      </c>
      <c r="T53" s="5">
        <f>R53-S53</f>
        <v/>
      </c>
    </row>
    <row r="54">
      <c r="A54" t="n">
        <v>5</v>
      </c>
      <c r="B54" t="inlineStr">
        <is>
          <t>Abril</t>
        </is>
      </c>
      <c r="C54" s="5" t="n">
        <v>36879.95</v>
      </c>
      <c r="D54" s="5" t="n">
        <v>5531.99</v>
      </c>
      <c r="E54" s="5" t="n">
        <v>553.2</v>
      </c>
      <c r="F54" s="5" t="n">
        <v>1000</v>
      </c>
      <c r="G54" s="5" t="n">
        <v>50</v>
      </c>
      <c r="H54" s="5" t="n">
        <v>1833</v>
      </c>
      <c r="I54" s="5" t="n">
        <v>670</v>
      </c>
      <c r="J54" s="5" t="n">
        <v>180</v>
      </c>
      <c r="K54" s="5" t="n">
        <v>50</v>
      </c>
      <c r="L54" s="5" t="n">
        <v>55</v>
      </c>
      <c r="M54" s="5" t="n">
        <v>70</v>
      </c>
      <c r="N54" s="5" t="n">
        <v>60</v>
      </c>
      <c r="O54" s="5" t="n">
        <v>500</v>
      </c>
      <c r="P54" s="5" t="n">
        <v>25</v>
      </c>
      <c r="Q54" s="5">
        <f>SUM(E54:P54)</f>
        <v/>
      </c>
      <c r="R54" s="5">
        <f>D54-Q54</f>
        <v/>
      </c>
      <c r="S54" s="5">
        <f>MAX(0,R54*0.15)</f>
        <v/>
      </c>
      <c r="T54" s="5">
        <f>R54-S54</f>
        <v/>
      </c>
    </row>
    <row r="55">
      <c r="A55" t="n">
        <v>5</v>
      </c>
      <c r="B55" t="inlineStr">
        <is>
          <t>Mayo</t>
        </is>
      </c>
      <c r="C55" s="5" t="n">
        <v>52378.98</v>
      </c>
      <c r="D55" s="5" t="n">
        <v>7856.85</v>
      </c>
      <c r="E55" s="5" t="n">
        <v>785.6799999999999</v>
      </c>
      <c r="F55" s="5" t="n">
        <v>1000</v>
      </c>
      <c r="G55" s="5" t="n">
        <v>50</v>
      </c>
      <c r="H55" s="5" t="n">
        <v>1833</v>
      </c>
      <c r="I55" s="5" t="n">
        <v>670</v>
      </c>
      <c r="J55" s="5" t="n">
        <v>180</v>
      </c>
      <c r="K55" s="5" t="n">
        <v>50</v>
      </c>
      <c r="L55" s="5" t="n">
        <v>55</v>
      </c>
      <c r="M55" s="5" t="n">
        <v>70</v>
      </c>
      <c r="N55" s="5" t="n">
        <v>60</v>
      </c>
      <c r="O55" s="5" t="n">
        <v>500</v>
      </c>
      <c r="P55" s="5" t="n">
        <v>25</v>
      </c>
      <c r="Q55" s="5">
        <f>SUM(E55:P55)</f>
        <v/>
      </c>
      <c r="R55" s="5">
        <f>D55-Q55</f>
        <v/>
      </c>
      <c r="S55" s="5">
        <f>MAX(0,R55*0.15)</f>
        <v/>
      </c>
      <c r="T55" s="5">
        <f>R55-S55</f>
        <v/>
      </c>
    </row>
    <row r="56">
      <c r="A56" t="n">
        <v>5</v>
      </c>
      <c r="B56" t="inlineStr">
        <is>
          <t>Junio</t>
        </is>
      </c>
      <c r="C56" s="5" t="n">
        <v>56170.99</v>
      </c>
      <c r="D56" s="5" t="n">
        <v>8425.65</v>
      </c>
      <c r="E56" s="5" t="n">
        <v>842.5599999999999</v>
      </c>
      <c r="F56" s="5" t="n">
        <v>1000</v>
      </c>
      <c r="G56" s="5" t="n">
        <v>50</v>
      </c>
      <c r="H56" s="5" t="n">
        <v>1833</v>
      </c>
      <c r="I56" s="5" t="n">
        <v>670</v>
      </c>
      <c r="J56" s="5" t="n">
        <v>180</v>
      </c>
      <c r="K56" s="5" t="n">
        <v>50</v>
      </c>
      <c r="L56" s="5" t="n">
        <v>55</v>
      </c>
      <c r="M56" s="5" t="n">
        <v>70</v>
      </c>
      <c r="N56" s="5" t="n">
        <v>60</v>
      </c>
      <c r="O56" s="5" t="n">
        <v>500</v>
      </c>
      <c r="P56" s="5" t="n">
        <v>25</v>
      </c>
      <c r="Q56" s="5">
        <f>SUM(E56:P56)</f>
        <v/>
      </c>
      <c r="R56" s="5">
        <f>D56-Q56</f>
        <v/>
      </c>
      <c r="S56" s="5">
        <f>MAX(0,R56*0.15)</f>
        <v/>
      </c>
      <c r="T56" s="5">
        <f>R56-S56</f>
        <v/>
      </c>
    </row>
    <row r="57">
      <c r="A57" t="n">
        <v>5</v>
      </c>
      <c r="B57" t="inlineStr">
        <is>
          <t>Julio</t>
        </is>
      </c>
      <c r="C57" s="5" t="n">
        <v>79244.60000000001</v>
      </c>
      <c r="D57" s="5" t="n">
        <v>11886.69</v>
      </c>
      <c r="E57" s="5" t="n">
        <v>1188.67</v>
      </c>
      <c r="F57" s="5" t="n">
        <v>1000</v>
      </c>
      <c r="G57" s="5" t="n">
        <v>50</v>
      </c>
      <c r="H57" s="5" t="n">
        <v>1833</v>
      </c>
      <c r="I57" s="5" t="n">
        <v>670</v>
      </c>
      <c r="J57" s="5" t="n">
        <v>180</v>
      </c>
      <c r="K57" s="5" t="n">
        <v>50</v>
      </c>
      <c r="L57" s="5" t="n">
        <v>55</v>
      </c>
      <c r="M57" s="5" t="n">
        <v>70</v>
      </c>
      <c r="N57" s="5" t="n">
        <v>60</v>
      </c>
      <c r="O57" s="5" t="n">
        <v>500</v>
      </c>
      <c r="P57" s="5" t="n">
        <v>25</v>
      </c>
      <c r="Q57" s="5">
        <f>SUM(E57:P57)</f>
        <v/>
      </c>
      <c r="R57" s="5">
        <f>D57-Q57</f>
        <v/>
      </c>
      <c r="S57" s="5">
        <f>MAX(0,R57*0.15)</f>
        <v/>
      </c>
      <c r="T57" s="5">
        <f>R57-S57</f>
        <v/>
      </c>
    </row>
    <row r="58">
      <c r="A58" t="n">
        <v>5</v>
      </c>
      <c r="B58" t="inlineStr">
        <is>
          <t>Agosto</t>
        </is>
      </c>
      <c r="C58" s="5" t="n">
        <v>114904.67</v>
      </c>
      <c r="D58" s="5" t="n">
        <v>17235.7</v>
      </c>
      <c r="E58" s="5" t="n">
        <v>1723.57</v>
      </c>
      <c r="F58" s="5" t="n">
        <v>1000</v>
      </c>
      <c r="G58" s="5" t="n">
        <v>50</v>
      </c>
      <c r="H58" s="5" t="n">
        <v>1833</v>
      </c>
      <c r="I58" s="5" t="n">
        <v>670</v>
      </c>
      <c r="J58" s="5" t="n">
        <v>180</v>
      </c>
      <c r="K58" s="5" t="n">
        <v>50</v>
      </c>
      <c r="L58" s="5" t="n">
        <v>55</v>
      </c>
      <c r="M58" s="5" t="n">
        <v>70</v>
      </c>
      <c r="N58" s="5" t="n">
        <v>60</v>
      </c>
      <c r="O58" s="5" t="n">
        <v>500</v>
      </c>
      <c r="P58" s="5" t="n">
        <v>25</v>
      </c>
      <c r="Q58" s="5">
        <f>SUM(E58:P58)</f>
        <v/>
      </c>
      <c r="R58" s="5">
        <f>D58-Q58</f>
        <v/>
      </c>
      <c r="S58" s="5">
        <f>MAX(0,R58*0.15)</f>
        <v/>
      </c>
      <c r="T58" s="5">
        <f>R58-S58</f>
        <v/>
      </c>
    </row>
    <row r="59">
      <c r="A59" t="n">
        <v>5</v>
      </c>
      <c r="B59" t="inlineStr">
        <is>
          <t>Septiembre</t>
        </is>
      </c>
      <c r="C59" s="5" t="n">
        <v>56558.71</v>
      </c>
      <c r="D59" s="5" t="n">
        <v>8483.809999999999</v>
      </c>
      <c r="E59" s="5" t="n">
        <v>848.38</v>
      </c>
      <c r="F59" s="5" t="n">
        <v>1000</v>
      </c>
      <c r="G59" s="5" t="n">
        <v>50</v>
      </c>
      <c r="H59" s="5" t="n">
        <v>1833</v>
      </c>
      <c r="I59" s="5" t="n">
        <v>670</v>
      </c>
      <c r="J59" s="5" t="n">
        <v>180</v>
      </c>
      <c r="K59" s="5" t="n">
        <v>50</v>
      </c>
      <c r="L59" s="5" t="n">
        <v>55</v>
      </c>
      <c r="M59" s="5" t="n">
        <v>70</v>
      </c>
      <c r="N59" s="5" t="n">
        <v>60</v>
      </c>
      <c r="O59" s="5" t="n">
        <v>500</v>
      </c>
      <c r="P59" s="5" t="n">
        <v>25</v>
      </c>
      <c r="Q59" s="5">
        <f>SUM(E59:P59)</f>
        <v/>
      </c>
      <c r="R59" s="5">
        <f>D59-Q59</f>
        <v/>
      </c>
      <c r="S59" s="5">
        <f>MAX(0,R59*0.15)</f>
        <v/>
      </c>
      <c r="T59" s="5">
        <f>R59-S59</f>
        <v/>
      </c>
    </row>
    <row r="60">
      <c r="A60" t="n">
        <v>5</v>
      </c>
      <c r="B60" t="inlineStr">
        <is>
          <t>Octubre</t>
        </is>
      </c>
      <c r="C60" s="5" t="n">
        <v>62724.28</v>
      </c>
      <c r="D60" s="5" t="n">
        <v>9408.639999999999</v>
      </c>
      <c r="E60" s="5" t="n">
        <v>940.86</v>
      </c>
      <c r="F60" s="5" t="n">
        <v>1000</v>
      </c>
      <c r="G60" s="5" t="n">
        <v>50</v>
      </c>
      <c r="H60" s="5" t="n">
        <v>1833</v>
      </c>
      <c r="I60" s="5" t="n">
        <v>670</v>
      </c>
      <c r="J60" s="5" t="n">
        <v>180</v>
      </c>
      <c r="K60" s="5" t="n">
        <v>50</v>
      </c>
      <c r="L60" s="5" t="n">
        <v>55</v>
      </c>
      <c r="M60" s="5" t="n">
        <v>70</v>
      </c>
      <c r="N60" s="5" t="n">
        <v>60</v>
      </c>
      <c r="O60" s="5" t="n">
        <v>500</v>
      </c>
      <c r="P60" s="5" t="n">
        <v>25</v>
      </c>
      <c r="Q60" s="5">
        <f>SUM(E60:P60)</f>
        <v/>
      </c>
      <c r="R60" s="5">
        <f>D60-Q60</f>
        <v/>
      </c>
      <c r="S60" s="5">
        <f>MAX(0,R60*0.15)</f>
        <v/>
      </c>
      <c r="T60" s="5">
        <f>R60-S60</f>
        <v/>
      </c>
    </row>
    <row r="61">
      <c r="A61" t="n">
        <v>5</v>
      </c>
      <c r="B61" t="inlineStr">
        <is>
          <t>Noviembre</t>
        </is>
      </c>
      <c r="C61" s="5" t="n">
        <v>54194.61</v>
      </c>
      <c r="D61" s="5" t="n">
        <v>8129.19</v>
      </c>
      <c r="E61" s="5" t="n">
        <v>812.92</v>
      </c>
      <c r="F61" s="5" t="n">
        <v>1000</v>
      </c>
      <c r="G61" s="5" t="n">
        <v>50</v>
      </c>
      <c r="H61" s="5" t="n">
        <v>1833</v>
      </c>
      <c r="I61" s="5" t="n">
        <v>670</v>
      </c>
      <c r="J61" s="5" t="n">
        <v>180</v>
      </c>
      <c r="K61" s="5" t="n">
        <v>50</v>
      </c>
      <c r="L61" s="5" t="n">
        <v>55</v>
      </c>
      <c r="M61" s="5" t="n">
        <v>70</v>
      </c>
      <c r="N61" s="5" t="n">
        <v>60</v>
      </c>
      <c r="O61" s="5" t="n">
        <v>500</v>
      </c>
      <c r="P61" s="5" t="n">
        <v>25</v>
      </c>
      <c r="Q61" s="5">
        <f>SUM(E61:P61)</f>
        <v/>
      </c>
      <c r="R61" s="5">
        <f>D61-Q61</f>
        <v/>
      </c>
      <c r="S61" s="5">
        <f>MAX(0,R61*0.15)</f>
        <v/>
      </c>
      <c r="T61" s="5">
        <f>R61-S61</f>
        <v/>
      </c>
    </row>
    <row r="62">
      <c r="A62" t="n">
        <v>5</v>
      </c>
      <c r="B62" t="inlineStr">
        <is>
          <t>Diciembre</t>
        </is>
      </c>
      <c r="C62" s="5" t="n">
        <v>50478.24</v>
      </c>
      <c r="D62" s="5" t="n">
        <v>7571.74</v>
      </c>
      <c r="E62" s="5" t="n">
        <v>757.17</v>
      </c>
      <c r="F62" s="5" t="n">
        <v>1000</v>
      </c>
      <c r="G62" s="5" t="n">
        <v>50</v>
      </c>
      <c r="H62" s="5" t="n">
        <v>1833</v>
      </c>
      <c r="I62" s="5" t="n">
        <v>670</v>
      </c>
      <c r="J62" s="5" t="n">
        <v>180</v>
      </c>
      <c r="K62" s="5" t="n">
        <v>50</v>
      </c>
      <c r="L62" s="5" t="n">
        <v>55</v>
      </c>
      <c r="M62" s="5" t="n">
        <v>70</v>
      </c>
      <c r="N62" s="5" t="n">
        <v>60</v>
      </c>
      <c r="O62" s="5" t="n">
        <v>500</v>
      </c>
      <c r="P62" s="5" t="n">
        <v>25</v>
      </c>
      <c r="Q62" s="5">
        <f>SUM(E62:P62)</f>
        <v/>
      </c>
      <c r="R62" s="5">
        <f>D62-Q62</f>
        <v/>
      </c>
      <c r="S62" s="5">
        <f>MAX(0,R62*0.15)</f>
        <v/>
      </c>
      <c r="T62" s="5">
        <f>R62-S62</f>
        <v/>
      </c>
    </row>
  </sheetData>
  <mergeCells count="1">
    <mergeCell ref="A1:T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62"/>
  <sheetViews>
    <sheetView workbookViewId="0">
      <selection activeCell="A1" sqref="A1"/>
    </sheetView>
  </sheetViews>
  <sheetFormatPr baseColWidth="8" defaultRowHeight="15"/>
  <cols>
    <col width="13" customWidth="1" style="32" min="1" max="1"/>
    <col width="12" customWidth="1" style="32" min="2" max="2"/>
    <col width="13" customWidth="1" style="32" min="3" max="3"/>
    <col width="18" customWidth="1" style="32" min="4" max="4"/>
    <col width="13" customWidth="1" style="32" min="5" max="5"/>
    <col width="13" customWidth="1" style="32" min="6" max="6"/>
    <col width="13" customWidth="1" style="32" min="7" max="7"/>
    <col width="13" customWidth="1" style="32" min="8" max="8"/>
    <col width="13" customWidth="1" style="32" min="9" max="9"/>
    <col width="13" customWidth="1" style="32" min="10" max="10"/>
    <col width="13" customWidth="1" style="32" min="11" max="11"/>
    <col width="13" customWidth="1" style="32" min="12" max="12"/>
    <col width="13" customWidth="1" style="32" min="13" max="13"/>
    <col width="13" customWidth="1" style="32" min="14" max="14"/>
    <col width="13" customWidth="1" style="32" min="15" max="15"/>
    <col width="13" customWidth="1" style="32" min="16" max="16"/>
    <col width="13" customWidth="1" style="32" min="17" max="17"/>
    <col width="13" customWidth="1" style="32" min="18" max="18"/>
    <col width="13" customWidth="1" style="32" min="19" max="19"/>
    <col width="13" customWidth="1" style="32" min="20" max="20"/>
  </cols>
  <sheetData>
    <row r="1">
      <c r="A1" s="41" t="inlineStr">
        <is>
          <t>ESCENARIO OPTIMISTA (hipótesis) — escalado agresivo; no validado con ventas reales</t>
        </is>
      </c>
    </row>
    <row r="2" ht="30" customHeight="1" s="32">
      <c r="A2" s="38" t="inlineStr">
        <is>
          <t>Año</t>
        </is>
      </c>
      <c r="B2" s="38" t="inlineStr">
        <is>
          <t>Mes</t>
        </is>
      </c>
      <c r="C2" s="38" t="inlineStr">
        <is>
          <t>GMV vendedores</t>
        </is>
      </c>
      <c r="D2" s="38" t="inlineStr">
        <is>
          <t>Ingresos comisión (15%)</t>
        </is>
      </c>
      <c r="E2" s="38" t="inlineStr">
        <is>
          <t>Coste medios pago</t>
        </is>
      </c>
      <c r="F2" s="38" t="inlineStr">
        <is>
          <t>Personal</t>
        </is>
      </c>
      <c r="G2" s="38" t="inlineStr">
        <is>
          <t>Transportes/logística</t>
        </is>
      </c>
      <c r="H2" s="38" t="inlineStr">
        <is>
          <t>Marketing</t>
        </is>
      </c>
      <c r="I2" s="38" t="inlineStr">
        <is>
          <t>Hosting/software</t>
        </is>
      </c>
      <c r="J2" s="38" t="inlineStr">
        <is>
          <t>Gestoría/contabilidad</t>
        </is>
      </c>
      <c r="K2" s="38" t="inlineStr">
        <is>
          <t>Seguros</t>
        </is>
      </c>
      <c r="L2" s="38" t="inlineStr">
        <is>
          <t>Telefonía/Internet</t>
        </is>
      </c>
      <c r="M2" s="38" t="inlineStr">
        <is>
          <t>Suministros/oficina</t>
        </is>
      </c>
      <c r="N2" s="38" t="inlineStr">
        <is>
          <t>Otros corrientes</t>
        </is>
      </c>
      <c r="O2" s="38" t="inlineStr">
        <is>
          <t>Amortizaciones</t>
        </is>
      </c>
      <c r="P2" s="38" t="inlineStr">
        <is>
          <t>Gastos financieros</t>
        </is>
      </c>
      <c r="Q2" s="38" t="inlineStr">
        <is>
          <t>Total gastos</t>
        </is>
      </c>
      <c r="R2" s="38" t="inlineStr">
        <is>
          <t>Resultado antes impuestos</t>
        </is>
      </c>
      <c r="S2" s="38" t="inlineStr">
        <is>
          <t>Impuesto Sociedades</t>
        </is>
      </c>
      <c r="T2" s="38" t="inlineStr">
        <is>
          <t>Resultado neto</t>
        </is>
      </c>
    </row>
    <row r="3">
      <c r="A3" t="n">
        <v>1</v>
      </c>
      <c r="B3" t="inlineStr">
        <is>
          <t>Enero</t>
        </is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100</v>
      </c>
      <c r="I3" s="5" t="n">
        <v>150</v>
      </c>
      <c r="J3" s="5" t="n">
        <v>180</v>
      </c>
      <c r="K3" s="5" t="n">
        <v>50</v>
      </c>
      <c r="L3" s="5" t="n">
        <v>55</v>
      </c>
      <c r="M3" s="5" t="n">
        <v>70</v>
      </c>
      <c r="N3" s="5" t="n">
        <v>60</v>
      </c>
      <c r="O3" s="5" t="n">
        <v>0</v>
      </c>
      <c r="P3" s="5" t="n">
        <v>25</v>
      </c>
      <c r="Q3" s="5">
        <f>SUM(E3:P3)</f>
        <v/>
      </c>
      <c r="R3" s="5">
        <f>D3-Q3</f>
        <v/>
      </c>
      <c r="S3" s="5">
        <f>MAX(0,R3*0.15)</f>
        <v/>
      </c>
      <c r="T3" s="5">
        <f>R3-S3</f>
        <v/>
      </c>
    </row>
    <row r="4">
      <c r="A4" t="n">
        <v>1</v>
      </c>
      <c r="B4" t="inlineStr">
        <is>
          <t>Febrero</t>
        </is>
      </c>
      <c r="C4" s="5" t="n">
        <v>0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100</v>
      </c>
      <c r="I4" s="5" t="n">
        <v>150</v>
      </c>
      <c r="J4" s="5" t="n">
        <v>180</v>
      </c>
      <c r="K4" s="5" t="n">
        <v>50</v>
      </c>
      <c r="L4" s="5" t="n">
        <v>55</v>
      </c>
      <c r="M4" s="5" t="n">
        <v>70</v>
      </c>
      <c r="N4" s="5" t="n">
        <v>60</v>
      </c>
      <c r="O4" s="5" t="n">
        <v>0</v>
      </c>
      <c r="P4" s="5" t="n">
        <v>25</v>
      </c>
      <c r="Q4" s="5">
        <f>SUM(E4:P4)</f>
        <v/>
      </c>
      <c r="R4" s="5">
        <f>D4-Q4</f>
        <v/>
      </c>
      <c r="S4" s="5">
        <f>MAX(0,R4*0.15)</f>
        <v/>
      </c>
      <c r="T4" s="5">
        <f>R4-S4</f>
        <v/>
      </c>
    </row>
    <row r="5">
      <c r="A5" t="n">
        <v>1</v>
      </c>
      <c r="B5" t="inlineStr">
        <is>
          <t>Marzo</t>
        </is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100</v>
      </c>
      <c r="I5" s="5" t="n">
        <v>150</v>
      </c>
      <c r="J5" s="5" t="n">
        <v>180</v>
      </c>
      <c r="K5" s="5" t="n">
        <v>50</v>
      </c>
      <c r="L5" s="5" t="n">
        <v>55</v>
      </c>
      <c r="M5" s="5" t="n">
        <v>70</v>
      </c>
      <c r="N5" s="5" t="n">
        <v>60</v>
      </c>
      <c r="O5" s="5" t="n">
        <v>0</v>
      </c>
      <c r="P5" s="5" t="n">
        <v>25</v>
      </c>
      <c r="Q5" s="5">
        <f>SUM(E5:P5)</f>
        <v/>
      </c>
      <c r="R5" s="5">
        <f>D5-Q5</f>
        <v/>
      </c>
      <c r="S5" s="5">
        <f>MAX(0,R5*0.15)</f>
        <v/>
      </c>
      <c r="T5" s="5">
        <f>R5-S5</f>
        <v/>
      </c>
    </row>
    <row r="6">
      <c r="A6" t="n">
        <v>1</v>
      </c>
      <c r="B6" t="inlineStr">
        <is>
          <t>Abril</t>
        </is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100</v>
      </c>
      <c r="I6" s="5" t="n">
        <v>150</v>
      </c>
      <c r="J6" s="5" t="n">
        <v>180</v>
      </c>
      <c r="K6" s="5" t="n">
        <v>50</v>
      </c>
      <c r="L6" s="5" t="n">
        <v>55</v>
      </c>
      <c r="M6" s="5" t="n">
        <v>70</v>
      </c>
      <c r="N6" s="5" t="n">
        <v>60</v>
      </c>
      <c r="O6" s="5" t="n">
        <v>0</v>
      </c>
      <c r="P6" s="5" t="n">
        <v>25</v>
      </c>
      <c r="Q6" s="5">
        <f>SUM(E6:P6)</f>
        <v/>
      </c>
      <c r="R6" s="5">
        <f>D6-Q6</f>
        <v/>
      </c>
      <c r="S6" s="5">
        <f>MAX(0,R6*0.15)</f>
        <v/>
      </c>
      <c r="T6" s="5">
        <f>R6-S6</f>
        <v/>
      </c>
    </row>
    <row r="7">
      <c r="A7" t="n">
        <v>1</v>
      </c>
      <c r="B7" t="inlineStr">
        <is>
          <t>Mayo</t>
        </is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100</v>
      </c>
      <c r="I7" s="5" t="n">
        <v>150</v>
      </c>
      <c r="J7" s="5" t="n">
        <v>180</v>
      </c>
      <c r="K7" s="5" t="n">
        <v>50</v>
      </c>
      <c r="L7" s="5" t="n">
        <v>55</v>
      </c>
      <c r="M7" s="5" t="n">
        <v>70</v>
      </c>
      <c r="N7" s="5" t="n">
        <v>60</v>
      </c>
      <c r="O7" s="5" t="n">
        <v>0</v>
      </c>
      <c r="P7" s="5" t="n">
        <v>25</v>
      </c>
      <c r="Q7" s="5">
        <f>SUM(E7:P7)</f>
        <v/>
      </c>
      <c r="R7" s="5">
        <f>D7-Q7</f>
        <v/>
      </c>
      <c r="S7" s="5">
        <f>MAX(0,R7*0.15)</f>
        <v/>
      </c>
      <c r="T7" s="5">
        <f>R7-S7</f>
        <v/>
      </c>
    </row>
    <row r="8">
      <c r="A8" t="n">
        <v>1</v>
      </c>
      <c r="B8" t="inlineStr">
        <is>
          <t>Junio</t>
        </is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100</v>
      </c>
      <c r="I8" s="5" t="n">
        <v>150</v>
      </c>
      <c r="J8" s="5" t="n">
        <v>180</v>
      </c>
      <c r="K8" s="5" t="n">
        <v>50</v>
      </c>
      <c r="L8" s="5" t="n">
        <v>55</v>
      </c>
      <c r="M8" s="5" t="n">
        <v>70</v>
      </c>
      <c r="N8" s="5" t="n">
        <v>60</v>
      </c>
      <c r="O8" s="5" t="n">
        <v>0</v>
      </c>
      <c r="P8" s="5" t="n">
        <v>25</v>
      </c>
      <c r="Q8" s="5">
        <f>SUM(E8:P8)</f>
        <v/>
      </c>
      <c r="R8" s="5">
        <f>D8-Q8</f>
        <v/>
      </c>
      <c r="S8" s="5">
        <f>MAX(0,R8*0.15)</f>
        <v/>
      </c>
      <c r="T8" s="5">
        <f>R8-S8</f>
        <v/>
      </c>
    </row>
    <row r="9">
      <c r="A9" t="n">
        <v>1</v>
      </c>
      <c r="B9" t="inlineStr">
        <is>
          <t>Julio</t>
        </is>
      </c>
      <c r="C9" s="5" t="n">
        <v>20848.6</v>
      </c>
      <c r="D9" s="5" t="n">
        <v>3127.29</v>
      </c>
      <c r="E9" s="5" t="n">
        <v>312.73</v>
      </c>
      <c r="F9" s="5" t="n">
        <v>0</v>
      </c>
      <c r="G9" s="5" t="n">
        <v>100</v>
      </c>
      <c r="H9" s="5" t="n">
        <v>1000</v>
      </c>
      <c r="I9" s="5" t="n">
        <v>250</v>
      </c>
      <c r="J9" s="5" t="n">
        <v>200</v>
      </c>
      <c r="K9" s="5" t="n">
        <v>60</v>
      </c>
      <c r="L9" s="5" t="n">
        <v>60</v>
      </c>
      <c r="M9" s="5" t="n">
        <v>80</v>
      </c>
      <c r="N9" s="5" t="n">
        <v>80</v>
      </c>
      <c r="O9" s="5" t="n">
        <v>500</v>
      </c>
      <c r="P9" s="5" t="n">
        <v>40</v>
      </c>
      <c r="Q9" s="5">
        <f>SUM(E9:P9)</f>
        <v/>
      </c>
      <c r="R9" s="5">
        <f>D9-Q9</f>
        <v/>
      </c>
      <c r="S9" s="5">
        <f>MAX(0,R9*0.15)</f>
        <v/>
      </c>
      <c r="T9" s="5">
        <f>R9-S9</f>
        <v/>
      </c>
    </row>
    <row r="10">
      <c r="A10" t="n">
        <v>1</v>
      </c>
      <c r="B10" t="inlineStr">
        <is>
          <t>Agosto</t>
        </is>
      </c>
      <c r="C10" s="5" t="n">
        <v>30230.47</v>
      </c>
      <c r="D10" s="5" t="n">
        <v>4534.57</v>
      </c>
      <c r="E10" s="5" t="n">
        <v>453.46</v>
      </c>
      <c r="F10" s="5" t="n">
        <v>0</v>
      </c>
      <c r="G10" s="5" t="n">
        <v>100</v>
      </c>
      <c r="H10" s="5" t="n">
        <v>1000</v>
      </c>
      <c r="I10" s="5" t="n">
        <v>250</v>
      </c>
      <c r="J10" s="5" t="n">
        <v>200</v>
      </c>
      <c r="K10" s="5" t="n">
        <v>60</v>
      </c>
      <c r="L10" s="5" t="n">
        <v>60</v>
      </c>
      <c r="M10" s="5" t="n">
        <v>80</v>
      </c>
      <c r="N10" s="5" t="n">
        <v>80</v>
      </c>
      <c r="O10" s="5" t="n">
        <v>500</v>
      </c>
      <c r="P10" s="5" t="n">
        <v>40</v>
      </c>
      <c r="Q10" s="5">
        <f>SUM(E10:P10)</f>
        <v/>
      </c>
      <c r="R10" s="5">
        <f>D10-Q10</f>
        <v/>
      </c>
      <c r="S10" s="5">
        <f>MAX(0,R10*0.15)</f>
        <v/>
      </c>
      <c r="T10" s="5">
        <f>R10-S10</f>
        <v/>
      </c>
    </row>
    <row r="11">
      <c r="A11" t="n">
        <v>1</v>
      </c>
      <c r="B11" t="inlineStr">
        <is>
          <t>Septiembre</t>
        </is>
      </c>
      <c r="C11" s="5" t="n">
        <v>14880.13</v>
      </c>
      <c r="D11" s="5" t="n">
        <v>2232.02</v>
      </c>
      <c r="E11" s="5" t="n">
        <v>223.2</v>
      </c>
      <c r="F11" s="5" t="n">
        <v>0</v>
      </c>
      <c r="G11" s="5" t="n">
        <v>100</v>
      </c>
      <c r="H11" s="5" t="n">
        <v>1000</v>
      </c>
      <c r="I11" s="5" t="n">
        <v>250</v>
      </c>
      <c r="J11" s="5" t="n">
        <v>200</v>
      </c>
      <c r="K11" s="5" t="n">
        <v>60</v>
      </c>
      <c r="L11" s="5" t="n">
        <v>60</v>
      </c>
      <c r="M11" s="5" t="n">
        <v>80</v>
      </c>
      <c r="N11" s="5" t="n">
        <v>80</v>
      </c>
      <c r="O11" s="5" t="n">
        <v>500</v>
      </c>
      <c r="P11" s="5" t="n">
        <v>40</v>
      </c>
      <c r="Q11" s="5">
        <f>SUM(E11:P11)</f>
        <v/>
      </c>
      <c r="R11" s="5">
        <f>D11-Q11</f>
        <v/>
      </c>
      <c r="S11" s="5">
        <f>MAX(0,R11*0.15)</f>
        <v/>
      </c>
      <c r="T11" s="5">
        <f>R11-S11</f>
        <v/>
      </c>
    </row>
    <row r="12">
      <c r="A12" t="n">
        <v>1</v>
      </c>
      <c r="B12" t="inlineStr">
        <is>
          <t>Octubre</t>
        </is>
      </c>
      <c r="C12" s="5" t="n">
        <v>16502.24</v>
      </c>
      <c r="D12" s="5" t="n">
        <v>2475.34</v>
      </c>
      <c r="E12" s="5" t="n">
        <v>247.53</v>
      </c>
      <c r="F12" s="5" t="n">
        <v>0</v>
      </c>
      <c r="G12" s="5" t="n">
        <v>100</v>
      </c>
      <c r="H12" s="5" t="n">
        <v>1000</v>
      </c>
      <c r="I12" s="5" t="n">
        <v>250</v>
      </c>
      <c r="J12" s="5" t="n">
        <v>200</v>
      </c>
      <c r="K12" s="5" t="n">
        <v>60</v>
      </c>
      <c r="L12" s="5" t="n">
        <v>60</v>
      </c>
      <c r="M12" s="5" t="n">
        <v>80</v>
      </c>
      <c r="N12" s="5" t="n">
        <v>80</v>
      </c>
      <c r="O12" s="5" t="n">
        <v>500</v>
      </c>
      <c r="P12" s="5" t="n">
        <v>40</v>
      </c>
      <c r="Q12" s="5">
        <f>SUM(E12:P12)</f>
        <v/>
      </c>
      <c r="R12" s="5">
        <f>D12-Q12</f>
        <v/>
      </c>
      <c r="S12" s="5">
        <f>MAX(0,R12*0.15)</f>
        <v/>
      </c>
      <c r="T12" s="5">
        <f>R12-S12</f>
        <v/>
      </c>
    </row>
    <row r="13">
      <c r="A13" t="n">
        <v>1</v>
      </c>
      <c r="B13" t="inlineStr">
        <is>
          <t>Noviembre</t>
        </is>
      </c>
      <c r="C13" s="5" t="n">
        <v>14258.15</v>
      </c>
      <c r="D13" s="5" t="n">
        <v>2138.72</v>
      </c>
      <c r="E13" s="5" t="n">
        <v>213.87</v>
      </c>
      <c r="F13" s="5" t="n">
        <v>0</v>
      </c>
      <c r="G13" s="5" t="n">
        <v>100</v>
      </c>
      <c r="H13" s="5" t="n">
        <v>1000</v>
      </c>
      <c r="I13" s="5" t="n">
        <v>250</v>
      </c>
      <c r="J13" s="5" t="n">
        <v>200</v>
      </c>
      <c r="K13" s="5" t="n">
        <v>60</v>
      </c>
      <c r="L13" s="5" t="n">
        <v>60</v>
      </c>
      <c r="M13" s="5" t="n">
        <v>80</v>
      </c>
      <c r="N13" s="5" t="n">
        <v>80</v>
      </c>
      <c r="O13" s="5" t="n">
        <v>500</v>
      </c>
      <c r="P13" s="5" t="n">
        <v>40</v>
      </c>
      <c r="Q13" s="5">
        <f>SUM(E13:P13)</f>
        <v/>
      </c>
      <c r="R13" s="5">
        <f>D13-Q13</f>
        <v/>
      </c>
      <c r="S13" s="5">
        <f>MAX(0,R13*0.15)</f>
        <v/>
      </c>
      <c r="T13" s="5">
        <f>R13-S13</f>
        <v/>
      </c>
    </row>
    <row r="14">
      <c r="A14" t="n">
        <v>1</v>
      </c>
      <c r="B14" t="inlineStr">
        <is>
          <t>Diciembre</t>
        </is>
      </c>
      <c r="C14" s="5" t="n">
        <v>13280.41</v>
      </c>
      <c r="D14" s="5" t="n">
        <v>1992.06</v>
      </c>
      <c r="E14" s="5" t="n">
        <v>199.21</v>
      </c>
      <c r="F14" s="5" t="n">
        <v>0</v>
      </c>
      <c r="G14" s="5" t="n">
        <v>100</v>
      </c>
      <c r="H14" s="5" t="n">
        <v>1000</v>
      </c>
      <c r="I14" s="5" t="n">
        <v>250</v>
      </c>
      <c r="J14" s="5" t="n">
        <v>200</v>
      </c>
      <c r="K14" s="5" t="n">
        <v>60</v>
      </c>
      <c r="L14" s="5" t="n">
        <v>60</v>
      </c>
      <c r="M14" s="5" t="n">
        <v>80</v>
      </c>
      <c r="N14" s="5" t="n">
        <v>80</v>
      </c>
      <c r="O14" s="5" t="n">
        <v>500</v>
      </c>
      <c r="P14" s="5" t="n">
        <v>40</v>
      </c>
      <c r="Q14" s="5">
        <f>SUM(E14:P14)</f>
        <v/>
      </c>
      <c r="R14" s="5">
        <f>D14-Q14</f>
        <v/>
      </c>
      <c r="S14" s="5">
        <f>MAX(0,R14*0.15)</f>
        <v/>
      </c>
      <c r="T14" s="5">
        <f>R14-S14</f>
        <v/>
      </c>
    </row>
    <row r="15">
      <c r="A15" t="n">
        <v>2</v>
      </c>
      <c r="B15" t="inlineStr">
        <is>
          <t>Enero</t>
        </is>
      </c>
      <c r="C15" s="5" t="n">
        <v>15308.24</v>
      </c>
      <c r="D15" s="5" t="n">
        <v>2296.24</v>
      </c>
      <c r="E15" s="5" t="n">
        <v>229.62</v>
      </c>
      <c r="F15" s="5" t="n">
        <v>1000</v>
      </c>
      <c r="G15" s="5" t="n">
        <v>100</v>
      </c>
      <c r="H15" s="5" t="n">
        <v>1500</v>
      </c>
      <c r="I15" s="5" t="n">
        <v>500</v>
      </c>
      <c r="J15" s="5" t="n">
        <v>200</v>
      </c>
      <c r="K15" s="5" t="n">
        <v>60</v>
      </c>
      <c r="L15" s="5" t="n">
        <v>60</v>
      </c>
      <c r="M15" s="5" t="n">
        <v>80</v>
      </c>
      <c r="N15" s="5" t="n">
        <v>80</v>
      </c>
      <c r="O15" s="5" t="n">
        <v>500</v>
      </c>
      <c r="P15" s="5" t="n">
        <v>40</v>
      </c>
      <c r="Q15" s="5">
        <f>SUM(E15:P15)</f>
        <v/>
      </c>
      <c r="R15" s="5">
        <f>D15-Q15</f>
        <v/>
      </c>
      <c r="S15" s="5">
        <f>MAX(0,R15*0.15)</f>
        <v/>
      </c>
      <c r="T15" s="5">
        <f>R15-S15</f>
        <v/>
      </c>
    </row>
    <row r="16">
      <c r="A16" t="n">
        <v>2</v>
      </c>
      <c r="B16" t="inlineStr">
        <is>
          <t>Febrero</t>
        </is>
      </c>
      <c r="C16" s="5" t="n">
        <v>21421.52</v>
      </c>
      <c r="D16" s="5" t="n">
        <v>3213.23</v>
      </c>
      <c r="E16" s="5" t="n">
        <v>321.32</v>
      </c>
      <c r="F16" s="5" t="n">
        <v>1000</v>
      </c>
      <c r="G16" s="5" t="n">
        <v>100</v>
      </c>
      <c r="H16" s="5" t="n">
        <v>1500</v>
      </c>
      <c r="I16" s="5" t="n">
        <v>500</v>
      </c>
      <c r="J16" s="5" t="n">
        <v>200</v>
      </c>
      <c r="K16" s="5" t="n">
        <v>60</v>
      </c>
      <c r="L16" s="5" t="n">
        <v>60</v>
      </c>
      <c r="M16" s="5" t="n">
        <v>80</v>
      </c>
      <c r="N16" s="5" t="n">
        <v>80</v>
      </c>
      <c r="O16" s="5" t="n">
        <v>500</v>
      </c>
      <c r="P16" s="5" t="n">
        <v>40</v>
      </c>
      <c r="Q16" s="5">
        <f>SUM(E16:P16)</f>
        <v/>
      </c>
      <c r="R16" s="5">
        <f>D16-Q16</f>
        <v/>
      </c>
      <c r="S16" s="5">
        <f>MAX(0,R16*0.15)</f>
        <v/>
      </c>
      <c r="T16" s="5">
        <f>R16-S16</f>
        <v/>
      </c>
    </row>
    <row r="17">
      <c r="A17" t="n">
        <v>2</v>
      </c>
      <c r="B17" t="inlineStr">
        <is>
          <t>Marzo</t>
        </is>
      </c>
      <c r="C17" s="5" t="n">
        <v>31779.05</v>
      </c>
      <c r="D17" s="5" t="n">
        <v>4766.86</v>
      </c>
      <c r="E17" s="5" t="n">
        <v>476.69</v>
      </c>
      <c r="F17" s="5" t="n">
        <v>1000</v>
      </c>
      <c r="G17" s="5" t="n">
        <v>100</v>
      </c>
      <c r="H17" s="5" t="n">
        <v>1500</v>
      </c>
      <c r="I17" s="5" t="n">
        <v>500</v>
      </c>
      <c r="J17" s="5" t="n">
        <v>200</v>
      </c>
      <c r="K17" s="5" t="n">
        <v>60</v>
      </c>
      <c r="L17" s="5" t="n">
        <v>60</v>
      </c>
      <c r="M17" s="5" t="n">
        <v>80</v>
      </c>
      <c r="N17" s="5" t="n">
        <v>80</v>
      </c>
      <c r="O17" s="5" t="n">
        <v>500</v>
      </c>
      <c r="P17" s="5" t="n">
        <v>40</v>
      </c>
      <c r="Q17" s="5">
        <f>SUM(E17:P17)</f>
        <v/>
      </c>
      <c r="R17" s="5">
        <f>D17-Q17</f>
        <v/>
      </c>
      <c r="S17" s="5">
        <f>MAX(0,R17*0.15)</f>
        <v/>
      </c>
      <c r="T17" s="5">
        <f>R17-S17</f>
        <v/>
      </c>
    </row>
    <row r="18">
      <c r="A18" t="n">
        <v>2</v>
      </c>
      <c r="B18" t="inlineStr">
        <is>
          <t>Abril</t>
        </is>
      </c>
      <c r="C18" s="5" t="n">
        <v>21694.09</v>
      </c>
      <c r="D18" s="5" t="n">
        <v>3254.11</v>
      </c>
      <c r="E18" s="5" t="n">
        <v>325.41</v>
      </c>
      <c r="F18" s="5" t="n">
        <v>1000</v>
      </c>
      <c r="G18" s="5" t="n">
        <v>100</v>
      </c>
      <c r="H18" s="5" t="n">
        <v>1500</v>
      </c>
      <c r="I18" s="5" t="n">
        <v>500</v>
      </c>
      <c r="J18" s="5" t="n">
        <v>200</v>
      </c>
      <c r="K18" s="5" t="n">
        <v>60</v>
      </c>
      <c r="L18" s="5" t="n">
        <v>60</v>
      </c>
      <c r="M18" s="5" t="n">
        <v>80</v>
      </c>
      <c r="N18" s="5" t="n">
        <v>80</v>
      </c>
      <c r="O18" s="5" t="n">
        <v>500</v>
      </c>
      <c r="P18" s="5" t="n">
        <v>40</v>
      </c>
      <c r="Q18" s="5">
        <f>SUM(E18:P18)</f>
        <v/>
      </c>
      <c r="R18" s="5">
        <f>D18-Q18</f>
        <v/>
      </c>
      <c r="S18" s="5">
        <f>MAX(0,R18*0.15)</f>
        <v/>
      </c>
      <c r="T18" s="5">
        <f>R18-S18</f>
        <v/>
      </c>
    </row>
    <row r="19">
      <c r="A19" t="n">
        <v>2</v>
      </c>
      <c r="B19" t="inlineStr">
        <is>
          <t>Mayo</t>
        </is>
      </c>
      <c r="C19" s="5" t="n">
        <v>30811.16</v>
      </c>
      <c r="D19" s="5" t="n">
        <v>4621.67</v>
      </c>
      <c r="E19" s="5" t="n">
        <v>462.17</v>
      </c>
      <c r="F19" s="5" t="n">
        <v>1000</v>
      </c>
      <c r="G19" s="5" t="n">
        <v>100</v>
      </c>
      <c r="H19" s="5" t="n">
        <v>1500</v>
      </c>
      <c r="I19" s="5" t="n">
        <v>500</v>
      </c>
      <c r="J19" s="5" t="n">
        <v>200</v>
      </c>
      <c r="K19" s="5" t="n">
        <v>60</v>
      </c>
      <c r="L19" s="5" t="n">
        <v>60</v>
      </c>
      <c r="M19" s="5" t="n">
        <v>80</v>
      </c>
      <c r="N19" s="5" t="n">
        <v>80</v>
      </c>
      <c r="O19" s="5" t="n">
        <v>500</v>
      </c>
      <c r="P19" s="5" t="n">
        <v>40</v>
      </c>
      <c r="Q19" s="5">
        <f>SUM(E19:P19)</f>
        <v/>
      </c>
      <c r="R19" s="5">
        <f>D19-Q19</f>
        <v/>
      </c>
      <c r="S19" s="5">
        <f>MAX(0,R19*0.15)</f>
        <v/>
      </c>
      <c r="T19" s="5">
        <f>R19-S19</f>
        <v/>
      </c>
    </row>
    <row r="20">
      <c r="A20" t="n">
        <v>2</v>
      </c>
      <c r="B20" t="inlineStr">
        <is>
          <t>Junio</t>
        </is>
      </c>
      <c r="C20" s="5" t="n">
        <v>33041.76</v>
      </c>
      <c r="D20" s="5" t="n">
        <v>4956.26</v>
      </c>
      <c r="E20" s="5" t="n">
        <v>495.63</v>
      </c>
      <c r="F20" s="5" t="n">
        <v>1000</v>
      </c>
      <c r="G20" s="5" t="n">
        <v>100</v>
      </c>
      <c r="H20" s="5" t="n">
        <v>1500</v>
      </c>
      <c r="I20" s="5" t="n">
        <v>500</v>
      </c>
      <c r="J20" s="5" t="n">
        <v>200</v>
      </c>
      <c r="K20" s="5" t="n">
        <v>60</v>
      </c>
      <c r="L20" s="5" t="n">
        <v>60</v>
      </c>
      <c r="M20" s="5" t="n">
        <v>80</v>
      </c>
      <c r="N20" s="5" t="n">
        <v>80</v>
      </c>
      <c r="O20" s="5" t="n">
        <v>500</v>
      </c>
      <c r="P20" s="5" t="n">
        <v>40</v>
      </c>
      <c r="Q20" s="5">
        <f>SUM(E20:P20)</f>
        <v/>
      </c>
      <c r="R20" s="5">
        <f>D20-Q20</f>
        <v/>
      </c>
      <c r="S20" s="5">
        <f>MAX(0,R20*0.15)</f>
        <v/>
      </c>
      <c r="T20" s="5">
        <f>R20-S20</f>
        <v/>
      </c>
    </row>
    <row r="21">
      <c r="A21" t="n">
        <v>2</v>
      </c>
      <c r="B21" t="inlineStr">
        <is>
          <t>Julio</t>
        </is>
      </c>
      <c r="C21" s="5" t="n">
        <v>46614.47</v>
      </c>
      <c r="D21" s="5" t="n">
        <v>6992.17</v>
      </c>
      <c r="E21" s="5" t="n">
        <v>699.22</v>
      </c>
      <c r="F21" s="5" t="n">
        <v>1000</v>
      </c>
      <c r="G21" s="5" t="n">
        <v>100</v>
      </c>
      <c r="H21" s="5" t="n">
        <v>1500</v>
      </c>
      <c r="I21" s="5" t="n">
        <v>500</v>
      </c>
      <c r="J21" s="5" t="n">
        <v>200</v>
      </c>
      <c r="K21" s="5" t="n">
        <v>60</v>
      </c>
      <c r="L21" s="5" t="n">
        <v>60</v>
      </c>
      <c r="M21" s="5" t="n">
        <v>80</v>
      </c>
      <c r="N21" s="5" t="n">
        <v>80</v>
      </c>
      <c r="O21" s="5" t="n">
        <v>500</v>
      </c>
      <c r="P21" s="5" t="n">
        <v>40</v>
      </c>
      <c r="Q21" s="5">
        <f>SUM(E21:P21)</f>
        <v/>
      </c>
      <c r="R21" s="5">
        <f>D21-Q21</f>
        <v/>
      </c>
      <c r="S21" s="5">
        <f>MAX(0,R21*0.15)</f>
        <v/>
      </c>
      <c r="T21" s="5">
        <f>R21-S21</f>
        <v/>
      </c>
    </row>
    <row r="22">
      <c r="A22" t="n">
        <v>2</v>
      </c>
      <c r="B22" t="inlineStr">
        <is>
          <t>Agosto</t>
        </is>
      </c>
      <c r="C22" s="5" t="n">
        <v>67590.98</v>
      </c>
      <c r="D22" s="5" t="n">
        <v>10138.65</v>
      </c>
      <c r="E22" s="5" t="n">
        <v>1013.86</v>
      </c>
      <c r="F22" s="5" t="n">
        <v>1000</v>
      </c>
      <c r="G22" s="5" t="n">
        <v>100</v>
      </c>
      <c r="H22" s="5" t="n">
        <v>1500</v>
      </c>
      <c r="I22" s="5" t="n">
        <v>500</v>
      </c>
      <c r="J22" s="5" t="n">
        <v>200</v>
      </c>
      <c r="K22" s="5" t="n">
        <v>60</v>
      </c>
      <c r="L22" s="5" t="n">
        <v>60</v>
      </c>
      <c r="M22" s="5" t="n">
        <v>80</v>
      </c>
      <c r="N22" s="5" t="n">
        <v>80</v>
      </c>
      <c r="O22" s="5" t="n">
        <v>500</v>
      </c>
      <c r="P22" s="5" t="n">
        <v>40</v>
      </c>
      <c r="Q22" s="5">
        <f>SUM(E22:P22)</f>
        <v/>
      </c>
      <c r="R22" s="5">
        <f>D22-Q22</f>
        <v/>
      </c>
      <c r="S22" s="5">
        <f>MAX(0,R22*0.15)</f>
        <v/>
      </c>
      <c r="T22" s="5">
        <f>R22-S22</f>
        <v/>
      </c>
    </row>
    <row r="23">
      <c r="A23" t="n">
        <v>2</v>
      </c>
      <c r="B23" t="inlineStr">
        <is>
          <t>Septiembre</t>
        </is>
      </c>
      <c r="C23" s="5" t="n">
        <v>33269.83</v>
      </c>
      <c r="D23" s="5" t="n">
        <v>4990.47</v>
      </c>
      <c r="E23" s="5" t="n">
        <v>499.05</v>
      </c>
      <c r="F23" s="5" t="n">
        <v>1000</v>
      </c>
      <c r="G23" s="5" t="n">
        <v>100</v>
      </c>
      <c r="H23" s="5" t="n">
        <v>1500</v>
      </c>
      <c r="I23" s="5" t="n">
        <v>500</v>
      </c>
      <c r="J23" s="5" t="n">
        <v>200</v>
      </c>
      <c r="K23" s="5" t="n">
        <v>60</v>
      </c>
      <c r="L23" s="5" t="n">
        <v>60</v>
      </c>
      <c r="M23" s="5" t="n">
        <v>80</v>
      </c>
      <c r="N23" s="5" t="n">
        <v>80</v>
      </c>
      <c r="O23" s="5" t="n">
        <v>500</v>
      </c>
      <c r="P23" s="5" t="n">
        <v>40</v>
      </c>
      <c r="Q23" s="5">
        <f>SUM(E23:P23)</f>
        <v/>
      </c>
      <c r="R23" s="5">
        <f>D23-Q23</f>
        <v/>
      </c>
      <c r="S23" s="5">
        <f>MAX(0,R23*0.15)</f>
        <v/>
      </c>
      <c r="T23" s="5">
        <f>R23-S23</f>
        <v/>
      </c>
    </row>
    <row r="24">
      <c r="A24" t="n">
        <v>2</v>
      </c>
      <c r="B24" t="inlineStr">
        <is>
          <t>Octubre</t>
        </is>
      </c>
      <c r="C24" s="5" t="n">
        <v>36896.63</v>
      </c>
      <c r="D24" s="5" t="n">
        <v>5534.49</v>
      </c>
      <c r="E24" s="5" t="n">
        <v>553.45</v>
      </c>
      <c r="F24" s="5" t="n">
        <v>1000</v>
      </c>
      <c r="G24" s="5" t="n">
        <v>100</v>
      </c>
      <c r="H24" s="5" t="n">
        <v>1500</v>
      </c>
      <c r="I24" s="5" t="n">
        <v>500</v>
      </c>
      <c r="J24" s="5" t="n">
        <v>200</v>
      </c>
      <c r="K24" s="5" t="n">
        <v>60</v>
      </c>
      <c r="L24" s="5" t="n">
        <v>60</v>
      </c>
      <c r="M24" s="5" t="n">
        <v>80</v>
      </c>
      <c r="N24" s="5" t="n">
        <v>80</v>
      </c>
      <c r="O24" s="5" t="n">
        <v>500</v>
      </c>
      <c r="P24" s="5" t="n">
        <v>40</v>
      </c>
      <c r="Q24" s="5">
        <f>SUM(E24:P24)</f>
        <v/>
      </c>
      <c r="R24" s="5">
        <f>D24-Q24</f>
        <v/>
      </c>
      <c r="S24" s="5">
        <f>MAX(0,R24*0.15)</f>
        <v/>
      </c>
      <c r="T24" s="5">
        <f>R24-S24</f>
        <v/>
      </c>
    </row>
    <row r="25">
      <c r="A25" t="n">
        <v>2</v>
      </c>
      <c r="B25" t="inlineStr">
        <is>
          <t>Noviembre</t>
        </is>
      </c>
      <c r="C25" s="5" t="n">
        <v>31879.18</v>
      </c>
      <c r="D25" s="5" t="n">
        <v>4781.88</v>
      </c>
      <c r="E25" s="5" t="n">
        <v>478.19</v>
      </c>
      <c r="F25" s="5" t="n">
        <v>1000</v>
      </c>
      <c r="G25" s="5" t="n">
        <v>100</v>
      </c>
      <c r="H25" s="5" t="n">
        <v>1500</v>
      </c>
      <c r="I25" s="5" t="n">
        <v>500</v>
      </c>
      <c r="J25" s="5" t="n">
        <v>200</v>
      </c>
      <c r="K25" s="5" t="n">
        <v>60</v>
      </c>
      <c r="L25" s="5" t="n">
        <v>60</v>
      </c>
      <c r="M25" s="5" t="n">
        <v>80</v>
      </c>
      <c r="N25" s="5" t="n">
        <v>80</v>
      </c>
      <c r="O25" s="5" t="n">
        <v>500</v>
      </c>
      <c r="P25" s="5" t="n">
        <v>40</v>
      </c>
      <c r="Q25" s="5">
        <f>SUM(E25:P25)</f>
        <v/>
      </c>
      <c r="R25" s="5">
        <f>D25-Q25</f>
        <v/>
      </c>
      <c r="S25" s="5">
        <f>MAX(0,R25*0.15)</f>
        <v/>
      </c>
      <c r="T25" s="5">
        <f>R25-S25</f>
        <v/>
      </c>
    </row>
    <row r="26">
      <c r="A26" t="n">
        <v>2</v>
      </c>
      <c r="B26" t="inlineStr">
        <is>
          <t>Diciembre</t>
        </is>
      </c>
      <c r="C26" s="5" t="n">
        <v>29693.08</v>
      </c>
      <c r="D26" s="5" t="n">
        <v>4453.96</v>
      </c>
      <c r="E26" s="5" t="n">
        <v>445.4</v>
      </c>
      <c r="F26" s="5" t="n">
        <v>1000</v>
      </c>
      <c r="G26" s="5" t="n">
        <v>100</v>
      </c>
      <c r="H26" s="5" t="n">
        <v>1500</v>
      </c>
      <c r="I26" s="5" t="n">
        <v>500</v>
      </c>
      <c r="J26" s="5" t="n">
        <v>200</v>
      </c>
      <c r="K26" s="5" t="n">
        <v>60</v>
      </c>
      <c r="L26" s="5" t="n">
        <v>60</v>
      </c>
      <c r="M26" s="5" t="n">
        <v>80</v>
      </c>
      <c r="N26" s="5" t="n">
        <v>80</v>
      </c>
      <c r="O26" s="5" t="n">
        <v>500</v>
      </c>
      <c r="P26" s="5" t="n">
        <v>40</v>
      </c>
      <c r="Q26" s="5">
        <f>SUM(E26:P26)</f>
        <v/>
      </c>
      <c r="R26" s="5">
        <f>D26-Q26</f>
        <v/>
      </c>
      <c r="S26" s="5">
        <f>MAX(0,R26*0.15)</f>
        <v/>
      </c>
      <c r="T26" s="5">
        <f>R26-S26</f>
        <v/>
      </c>
    </row>
    <row r="27">
      <c r="A27" t="n">
        <v>3</v>
      </c>
      <c r="B27" t="inlineStr">
        <is>
          <t>Enero</t>
        </is>
      </c>
      <c r="C27" s="5" t="n">
        <v>23727.77</v>
      </c>
      <c r="D27" s="5" t="n">
        <v>3559.17</v>
      </c>
      <c r="E27" s="5" t="n">
        <v>355.92</v>
      </c>
      <c r="F27" s="5" t="n">
        <v>1500</v>
      </c>
      <c r="G27" s="5" t="n">
        <v>100</v>
      </c>
      <c r="H27" s="5" t="n">
        <v>2333</v>
      </c>
      <c r="I27" s="5" t="n">
        <v>670</v>
      </c>
      <c r="J27" s="5" t="n">
        <v>200</v>
      </c>
      <c r="K27" s="5" t="n">
        <v>60</v>
      </c>
      <c r="L27" s="5" t="n">
        <v>60</v>
      </c>
      <c r="M27" s="5" t="n">
        <v>80</v>
      </c>
      <c r="N27" s="5" t="n">
        <v>80</v>
      </c>
      <c r="O27" s="5" t="n">
        <v>500</v>
      </c>
      <c r="P27" s="5" t="n">
        <v>40</v>
      </c>
      <c r="Q27" s="5">
        <f>SUM(E27:P27)</f>
        <v/>
      </c>
      <c r="R27" s="5">
        <f>D27-Q27</f>
        <v/>
      </c>
      <c r="S27" s="5">
        <f>MAX(0,R27*0.15)</f>
        <v/>
      </c>
      <c r="T27" s="5">
        <f>R27-S27</f>
        <v/>
      </c>
    </row>
    <row r="28">
      <c r="A28" t="n">
        <v>3</v>
      </c>
      <c r="B28" t="inlineStr">
        <is>
          <t>Febrero</t>
        </is>
      </c>
      <c r="C28" s="5" t="n">
        <v>33203.35</v>
      </c>
      <c r="D28" s="5" t="n">
        <v>4980.5</v>
      </c>
      <c r="E28" s="5" t="n">
        <v>498.05</v>
      </c>
      <c r="F28" s="5" t="n">
        <v>1500</v>
      </c>
      <c r="G28" s="5" t="n">
        <v>100</v>
      </c>
      <c r="H28" s="5" t="n">
        <v>2333</v>
      </c>
      <c r="I28" s="5" t="n">
        <v>670</v>
      </c>
      <c r="J28" s="5" t="n">
        <v>200</v>
      </c>
      <c r="K28" s="5" t="n">
        <v>60</v>
      </c>
      <c r="L28" s="5" t="n">
        <v>60</v>
      </c>
      <c r="M28" s="5" t="n">
        <v>80</v>
      </c>
      <c r="N28" s="5" t="n">
        <v>80</v>
      </c>
      <c r="O28" s="5" t="n">
        <v>500</v>
      </c>
      <c r="P28" s="5" t="n">
        <v>40</v>
      </c>
      <c r="Q28" s="5">
        <f>SUM(E28:P28)</f>
        <v/>
      </c>
      <c r="R28" s="5">
        <f>D28-Q28</f>
        <v/>
      </c>
      <c r="S28" s="5">
        <f>MAX(0,R28*0.15)</f>
        <v/>
      </c>
      <c r="T28" s="5">
        <f>R28-S28</f>
        <v/>
      </c>
    </row>
    <row r="29">
      <c r="A29" t="n">
        <v>3</v>
      </c>
      <c r="B29" t="inlineStr">
        <is>
          <t>Marzo</t>
        </is>
      </c>
      <c r="C29" s="5" t="n">
        <v>49257.53</v>
      </c>
      <c r="D29" s="5" t="n">
        <v>7388.63</v>
      </c>
      <c r="E29" s="5" t="n">
        <v>738.86</v>
      </c>
      <c r="F29" s="5" t="n">
        <v>1500</v>
      </c>
      <c r="G29" s="5" t="n">
        <v>100</v>
      </c>
      <c r="H29" s="5" t="n">
        <v>2333</v>
      </c>
      <c r="I29" s="5" t="n">
        <v>670</v>
      </c>
      <c r="J29" s="5" t="n">
        <v>200</v>
      </c>
      <c r="K29" s="5" t="n">
        <v>60</v>
      </c>
      <c r="L29" s="5" t="n">
        <v>60</v>
      </c>
      <c r="M29" s="5" t="n">
        <v>80</v>
      </c>
      <c r="N29" s="5" t="n">
        <v>80</v>
      </c>
      <c r="O29" s="5" t="n">
        <v>500</v>
      </c>
      <c r="P29" s="5" t="n">
        <v>40</v>
      </c>
      <c r="Q29" s="5">
        <f>SUM(E29:P29)</f>
        <v/>
      </c>
      <c r="R29" s="5">
        <f>D29-Q29</f>
        <v/>
      </c>
      <c r="S29" s="5">
        <f>MAX(0,R29*0.15)</f>
        <v/>
      </c>
      <c r="T29" s="5">
        <f>R29-S29</f>
        <v/>
      </c>
    </row>
    <row r="30">
      <c r="A30" t="n">
        <v>3</v>
      </c>
      <c r="B30" t="inlineStr">
        <is>
          <t>Abril</t>
        </is>
      </c>
      <c r="C30" s="5" t="n">
        <v>33625.83</v>
      </c>
      <c r="D30" s="5" t="n">
        <v>5043.87</v>
      </c>
      <c r="E30" s="5" t="n">
        <v>504.39</v>
      </c>
      <c r="F30" s="5" t="n">
        <v>1500</v>
      </c>
      <c r="G30" s="5" t="n">
        <v>100</v>
      </c>
      <c r="H30" s="5" t="n">
        <v>2333</v>
      </c>
      <c r="I30" s="5" t="n">
        <v>670</v>
      </c>
      <c r="J30" s="5" t="n">
        <v>200</v>
      </c>
      <c r="K30" s="5" t="n">
        <v>60</v>
      </c>
      <c r="L30" s="5" t="n">
        <v>60</v>
      </c>
      <c r="M30" s="5" t="n">
        <v>80</v>
      </c>
      <c r="N30" s="5" t="n">
        <v>80</v>
      </c>
      <c r="O30" s="5" t="n">
        <v>500</v>
      </c>
      <c r="P30" s="5" t="n">
        <v>40</v>
      </c>
      <c r="Q30" s="5">
        <f>SUM(E30:P30)</f>
        <v/>
      </c>
      <c r="R30" s="5">
        <f>D30-Q30</f>
        <v/>
      </c>
      <c r="S30" s="5">
        <f>MAX(0,R30*0.15)</f>
        <v/>
      </c>
      <c r="T30" s="5">
        <f>R30-S30</f>
        <v/>
      </c>
    </row>
    <row r="31">
      <c r="A31" t="n">
        <v>3</v>
      </c>
      <c r="B31" t="inlineStr">
        <is>
          <t>Mayo</t>
        </is>
      </c>
      <c r="C31" s="5" t="n">
        <v>47757.3</v>
      </c>
      <c r="D31" s="5" t="n">
        <v>7163.6</v>
      </c>
      <c r="E31" s="5" t="n">
        <v>716.36</v>
      </c>
      <c r="F31" s="5" t="n">
        <v>1500</v>
      </c>
      <c r="G31" s="5" t="n">
        <v>100</v>
      </c>
      <c r="H31" s="5" t="n">
        <v>2333</v>
      </c>
      <c r="I31" s="5" t="n">
        <v>670</v>
      </c>
      <c r="J31" s="5" t="n">
        <v>200</v>
      </c>
      <c r="K31" s="5" t="n">
        <v>60</v>
      </c>
      <c r="L31" s="5" t="n">
        <v>60</v>
      </c>
      <c r="M31" s="5" t="n">
        <v>80</v>
      </c>
      <c r="N31" s="5" t="n">
        <v>80</v>
      </c>
      <c r="O31" s="5" t="n">
        <v>500</v>
      </c>
      <c r="P31" s="5" t="n">
        <v>40</v>
      </c>
      <c r="Q31" s="5">
        <f>SUM(E31:P31)</f>
        <v/>
      </c>
      <c r="R31" s="5">
        <f>D31-Q31</f>
        <v/>
      </c>
      <c r="S31" s="5">
        <f>MAX(0,R31*0.15)</f>
        <v/>
      </c>
      <c r="T31" s="5">
        <f>R31-S31</f>
        <v/>
      </c>
    </row>
    <row r="32">
      <c r="A32" t="n">
        <v>3</v>
      </c>
      <c r="B32" t="inlineStr">
        <is>
          <t>Junio</t>
        </is>
      </c>
      <c r="C32" s="5" t="n">
        <v>51214.73</v>
      </c>
      <c r="D32" s="5" t="n">
        <v>7682.21</v>
      </c>
      <c r="E32" s="5" t="n">
        <v>768.22</v>
      </c>
      <c r="F32" s="5" t="n">
        <v>1500</v>
      </c>
      <c r="G32" s="5" t="n">
        <v>100</v>
      </c>
      <c r="H32" s="5" t="n">
        <v>2333</v>
      </c>
      <c r="I32" s="5" t="n">
        <v>670</v>
      </c>
      <c r="J32" s="5" t="n">
        <v>200</v>
      </c>
      <c r="K32" s="5" t="n">
        <v>60</v>
      </c>
      <c r="L32" s="5" t="n">
        <v>60</v>
      </c>
      <c r="M32" s="5" t="n">
        <v>80</v>
      </c>
      <c r="N32" s="5" t="n">
        <v>80</v>
      </c>
      <c r="O32" s="5" t="n">
        <v>500</v>
      </c>
      <c r="P32" s="5" t="n">
        <v>40</v>
      </c>
      <c r="Q32" s="5">
        <f>SUM(E32:P32)</f>
        <v/>
      </c>
      <c r="R32" s="5">
        <f>D32-Q32</f>
        <v/>
      </c>
      <c r="S32" s="5">
        <f>MAX(0,R32*0.15)</f>
        <v/>
      </c>
      <c r="T32" s="5">
        <f>R32-S32</f>
        <v/>
      </c>
    </row>
    <row r="33">
      <c r="A33" t="n">
        <v>3</v>
      </c>
      <c r="B33" t="inlineStr">
        <is>
          <t>Julio</t>
        </is>
      </c>
      <c r="C33" s="5" t="n">
        <v>72252.42999999999</v>
      </c>
      <c r="D33" s="5" t="n">
        <v>10837.86</v>
      </c>
      <c r="E33" s="5" t="n">
        <v>1083.79</v>
      </c>
      <c r="F33" s="5" t="n">
        <v>1500</v>
      </c>
      <c r="G33" s="5" t="n">
        <v>100</v>
      </c>
      <c r="H33" s="5" t="n">
        <v>2333</v>
      </c>
      <c r="I33" s="5" t="n">
        <v>670</v>
      </c>
      <c r="J33" s="5" t="n">
        <v>200</v>
      </c>
      <c r="K33" s="5" t="n">
        <v>60</v>
      </c>
      <c r="L33" s="5" t="n">
        <v>60</v>
      </c>
      <c r="M33" s="5" t="n">
        <v>80</v>
      </c>
      <c r="N33" s="5" t="n">
        <v>80</v>
      </c>
      <c r="O33" s="5" t="n">
        <v>500</v>
      </c>
      <c r="P33" s="5" t="n">
        <v>40</v>
      </c>
      <c r="Q33" s="5">
        <f>SUM(E33:P33)</f>
        <v/>
      </c>
      <c r="R33" s="5">
        <f>D33-Q33</f>
        <v/>
      </c>
      <c r="S33" s="5">
        <f>MAX(0,R33*0.15)</f>
        <v/>
      </c>
      <c r="T33" s="5">
        <f>R33-S33</f>
        <v/>
      </c>
    </row>
    <row r="34">
      <c r="A34" t="n">
        <v>3</v>
      </c>
      <c r="B34" t="inlineStr">
        <is>
          <t>Agosto</t>
        </is>
      </c>
      <c r="C34" s="5" t="n">
        <v>104766.02</v>
      </c>
      <c r="D34" s="5" t="n">
        <v>15714.9</v>
      </c>
      <c r="E34" s="5" t="n">
        <v>1571.49</v>
      </c>
      <c r="F34" s="5" t="n">
        <v>1500</v>
      </c>
      <c r="G34" s="5" t="n">
        <v>100</v>
      </c>
      <c r="H34" s="5" t="n">
        <v>2333</v>
      </c>
      <c r="I34" s="5" t="n">
        <v>670</v>
      </c>
      <c r="J34" s="5" t="n">
        <v>200</v>
      </c>
      <c r="K34" s="5" t="n">
        <v>60</v>
      </c>
      <c r="L34" s="5" t="n">
        <v>60</v>
      </c>
      <c r="M34" s="5" t="n">
        <v>80</v>
      </c>
      <c r="N34" s="5" t="n">
        <v>80</v>
      </c>
      <c r="O34" s="5" t="n">
        <v>500</v>
      </c>
      <c r="P34" s="5" t="n">
        <v>40</v>
      </c>
      <c r="Q34" s="5">
        <f>SUM(E34:P34)</f>
        <v/>
      </c>
      <c r="R34" s="5">
        <f>D34-Q34</f>
        <v/>
      </c>
      <c r="S34" s="5">
        <f>MAX(0,R34*0.15)</f>
        <v/>
      </c>
      <c r="T34" s="5">
        <f>R34-S34</f>
        <v/>
      </c>
    </row>
    <row r="35">
      <c r="A35" t="n">
        <v>3</v>
      </c>
      <c r="B35" t="inlineStr">
        <is>
          <t>Septiembre</t>
        </is>
      </c>
      <c r="C35" s="5" t="n">
        <v>51568.23</v>
      </c>
      <c r="D35" s="5" t="n">
        <v>7735.23</v>
      </c>
      <c r="E35" s="5" t="n">
        <v>773.52</v>
      </c>
      <c r="F35" s="5" t="n">
        <v>1500</v>
      </c>
      <c r="G35" s="5" t="n">
        <v>100</v>
      </c>
      <c r="H35" s="5" t="n">
        <v>2333</v>
      </c>
      <c r="I35" s="5" t="n">
        <v>670</v>
      </c>
      <c r="J35" s="5" t="n">
        <v>200</v>
      </c>
      <c r="K35" s="5" t="n">
        <v>60</v>
      </c>
      <c r="L35" s="5" t="n">
        <v>60</v>
      </c>
      <c r="M35" s="5" t="n">
        <v>80</v>
      </c>
      <c r="N35" s="5" t="n">
        <v>80</v>
      </c>
      <c r="O35" s="5" t="n">
        <v>500</v>
      </c>
      <c r="P35" s="5" t="n">
        <v>40</v>
      </c>
      <c r="Q35" s="5">
        <f>SUM(E35:P35)</f>
        <v/>
      </c>
      <c r="R35" s="5">
        <f>D35-Q35</f>
        <v/>
      </c>
      <c r="S35" s="5">
        <f>MAX(0,R35*0.15)</f>
        <v/>
      </c>
      <c r="T35" s="5">
        <f>R35-S35</f>
        <v/>
      </c>
    </row>
    <row r="36">
      <c r="A36" t="n">
        <v>3</v>
      </c>
      <c r="B36" t="inlineStr">
        <is>
          <t>Octubre</t>
        </is>
      </c>
      <c r="C36" s="5" t="n">
        <v>57189.78</v>
      </c>
      <c r="D36" s="5" t="n">
        <v>8578.469999999999</v>
      </c>
      <c r="E36" s="5" t="n">
        <v>857.85</v>
      </c>
      <c r="F36" s="5" t="n">
        <v>1500</v>
      </c>
      <c r="G36" s="5" t="n">
        <v>100</v>
      </c>
      <c r="H36" s="5" t="n">
        <v>2333</v>
      </c>
      <c r="I36" s="5" t="n">
        <v>670</v>
      </c>
      <c r="J36" s="5" t="n">
        <v>200</v>
      </c>
      <c r="K36" s="5" t="n">
        <v>60</v>
      </c>
      <c r="L36" s="5" t="n">
        <v>60</v>
      </c>
      <c r="M36" s="5" t="n">
        <v>80</v>
      </c>
      <c r="N36" s="5" t="n">
        <v>80</v>
      </c>
      <c r="O36" s="5" t="n">
        <v>500</v>
      </c>
      <c r="P36" s="5" t="n">
        <v>40</v>
      </c>
      <c r="Q36" s="5">
        <f>SUM(E36:P36)</f>
        <v/>
      </c>
      <c r="R36" s="5">
        <f>D36-Q36</f>
        <v/>
      </c>
      <c r="S36" s="5">
        <f>MAX(0,R36*0.15)</f>
        <v/>
      </c>
      <c r="T36" s="5">
        <f>R36-S36</f>
        <v/>
      </c>
    </row>
    <row r="37">
      <c r="A37" t="n">
        <v>3</v>
      </c>
      <c r="B37" t="inlineStr">
        <is>
          <t>Noviembre</t>
        </is>
      </c>
      <c r="C37" s="5" t="n">
        <v>49412.73</v>
      </c>
      <c r="D37" s="5" t="n">
        <v>7411.91</v>
      </c>
      <c r="E37" s="5" t="n">
        <v>741.1900000000001</v>
      </c>
      <c r="F37" s="5" t="n">
        <v>1500</v>
      </c>
      <c r="G37" s="5" t="n">
        <v>100</v>
      </c>
      <c r="H37" s="5" t="n">
        <v>2333</v>
      </c>
      <c r="I37" s="5" t="n">
        <v>670</v>
      </c>
      <c r="J37" s="5" t="n">
        <v>200</v>
      </c>
      <c r="K37" s="5" t="n">
        <v>60</v>
      </c>
      <c r="L37" s="5" t="n">
        <v>60</v>
      </c>
      <c r="M37" s="5" t="n">
        <v>80</v>
      </c>
      <c r="N37" s="5" t="n">
        <v>80</v>
      </c>
      <c r="O37" s="5" t="n">
        <v>500</v>
      </c>
      <c r="P37" s="5" t="n">
        <v>40</v>
      </c>
      <c r="Q37" s="5">
        <f>SUM(E37:P37)</f>
        <v/>
      </c>
      <c r="R37" s="5">
        <f>D37-Q37</f>
        <v/>
      </c>
      <c r="S37" s="5">
        <f>MAX(0,R37*0.15)</f>
        <v/>
      </c>
      <c r="T37" s="5">
        <f>R37-S37</f>
        <v/>
      </c>
    </row>
    <row r="38">
      <c r="A38" t="n">
        <v>3</v>
      </c>
      <c r="B38" t="inlineStr">
        <is>
          <t>Diciembre</t>
        </is>
      </c>
      <c r="C38" s="5" t="n">
        <v>46024.28</v>
      </c>
      <c r="D38" s="5" t="n">
        <v>6903.64</v>
      </c>
      <c r="E38" s="5" t="n">
        <v>690.36</v>
      </c>
      <c r="F38" s="5" t="n">
        <v>1500</v>
      </c>
      <c r="G38" s="5" t="n">
        <v>100</v>
      </c>
      <c r="H38" s="5" t="n">
        <v>2333</v>
      </c>
      <c r="I38" s="5" t="n">
        <v>670</v>
      </c>
      <c r="J38" s="5" t="n">
        <v>200</v>
      </c>
      <c r="K38" s="5" t="n">
        <v>60</v>
      </c>
      <c r="L38" s="5" t="n">
        <v>60</v>
      </c>
      <c r="M38" s="5" t="n">
        <v>80</v>
      </c>
      <c r="N38" s="5" t="n">
        <v>80</v>
      </c>
      <c r="O38" s="5" t="n">
        <v>500</v>
      </c>
      <c r="P38" s="5" t="n">
        <v>40</v>
      </c>
      <c r="Q38" s="5">
        <f>SUM(E38:P38)</f>
        <v/>
      </c>
      <c r="R38" s="5">
        <f>D38-Q38</f>
        <v/>
      </c>
      <c r="S38" s="5">
        <f>MAX(0,R38*0.15)</f>
        <v/>
      </c>
      <c r="T38" s="5">
        <f>R38-S38</f>
        <v/>
      </c>
    </row>
    <row r="39">
      <c r="A39" t="n">
        <v>4</v>
      </c>
      <c r="B39" t="inlineStr">
        <is>
          <t>Enero</t>
        </is>
      </c>
      <c r="C39" s="5" t="n">
        <v>30616.47</v>
      </c>
      <c r="D39" s="5" t="n">
        <v>4592.47</v>
      </c>
      <c r="E39" s="5" t="n">
        <v>459.25</v>
      </c>
      <c r="F39" s="5" t="n">
        <v>2000</v>
      </c>
      <c r="G39" s="5" t="n">
        <v>100</v>
      </c>
      <c r="H39" s="5" t="n">
        <v>2917</v>
      </c>
      <c r="I39" s="5" t="n">
        <v>830</v>
      </c>
      <c r="J39" s="5" t="n">
        <v>200</v>
      </c>
      <c r="K39" s="5" t="n">
        <v>60</v>
      </c>
      <c r="L39" s="5" t="n">
        <v>60</v>
      </c>
      <c r="M39" s="5" t="n">
        <v>80</v>
      </c>
      <c r="N39" s="5" t="n">
        <v>80</v>
      </c>
      <c r="O39" s="5" t="n">
        <v>500</v>
      </c>
      <c r="P39" s="5" t="n">
        <v>40</v>
      </c>
      <c r="Q39" s="5">
        <f>SUM(E39:P39)</f>
        <v/>
      </c>
      <c r="R39" s="5">
        <f>D39-Q39</f>
        <v/>
      </c>
      <c r="S39" s="5">
        <f>MAX(0,R39*0.15)</f>
        <v/>
      </c>
      <c r="T39" s="5">
        <f>R39-S39</f>
        <v/>
      </c>
    </row>
    <row r="40">
      <c r="A40" t="n">
        <v>4</v>
      </c>
      <c r="B40" t="inlineStr">
        <is>
          <t>Febrero</t>
        </is>
      </c>
      <c r="C40" s="5" t="n">
        <v>42843.04</v>
      </c>
      <c r="D40" s="5" t="n">
        <v>6426.46</v>
      </c>
      <c r="E40" s="5" t="n">
        <v>642.65</v>
      </c>
      <c r="F40" s="5" t="n">
        <v>2000</v>
      </c>
      <c r="G40" s="5" t="n">
        <v>100</v>
      </c>
      <c r="H40" s="5" t="n">
        <v>2917</v>
      </c>
      <c r="I40" s="5" t="n">
        <v>830</v>
      </c>
      <c r="J40" s="5" t="n">
        <v>200</v>
      </c>
      <c r="K40" s="5" t="n">
        <v>60</v>
      </c>
      <c r="L40" s="5" t="n">
        <v>60</v>
      </c>
      <c r="M40" s="5" t="n">
        <v>80</v>
      </c>
      <c r="N40" s="5" t="n">
        <v>80</v>
      </c>
      <c r="O40" s="5" t="n">
        <v>500</v>
      </c>
      <c r="P40" s="5" t="n">
        <v>40</v>
      </c>
      <c r="Q40" s="5">
        <f>SUM(E40:P40)</f>
        <v/>
      </c>
      <c r="R40" s="5">
        <f>D40-Q40</f>
        <v/>
      </c>
      <c r="S40" s="5">
        <f>MAX(0,R40*0.15)</f>
        <v/>
      </c>
      <c r="T40" s="5">
        <f>R40-S40</f>
        <v/>
      </c>
    </row>
    <row r="41">
      <c r="A41" t="n">
        <v>4</v>
      </c>
      <c r="B41" t="inlineStr">
        <is>
          <t>Marzo</t>
        </is>
      </c>
      <c r="C41" s="5" t="n">
        <v>63558.11</v>
      </c>
      <c r="D41" s="5" t="n">
        <v>9533.719999999999</v>
      </c>
      <c r="E41" s="5" t="n">
        <v>953.37</v>
      </c>
      <c r="F41" s="5" t="n">
        <v>2000</v>
      </c>
      <c r="G41" s="5" t="n">
        <v>100</v>
      </c>
      <c r="H41" s="5" t="n">
        <v>2917</v>
      </c>
      <c r="I41" s="5" t="n">
        <v>830</v>
      </c>
      <c r="J41" s="5" t="n">
        <v>200</v>
      </c>
      <c r="K41" s="5" t="n">
        <v>60</v>
      </c>
      <c r="L41" s="5" t="n">
        <v>60</v>
      </c>
      <c r="M41" s="5" t="n">
        <v>80</v>
      </c>
      <c r="N41" s="5" t="n">
        <v>80</v>
      </c>
      <c r="O41" s="5" t="n">
        <v>500</v>
      </c>
      <c r="P41" s="5" t="n">
        <v>40</v>
      </c>
      <c r="Q41" s="5">
        <f>SUM(E41:P41)</f>
        <v/>
      </c>
      <c r="R41" s="5">
        <f>D41-Q41</f>
        <v/>
      </c>
      <c r="S41" s="5">
        <f>MAX(0,R41*0.15)</f>
        <v/>
      </c>
      <c r="T41" s="5">
        <f>R41-S41</f>
        <v/>
      </c>
    </row>
    <row r="42">
      <c r="A42" t="n">
        <v>4</v>
      </c>
      <c r="B42" t="inlineStr">
        <is>
          <t>Abril</t>
        </is>
      </c>
      <c r="C42" s="5" t="n">
        <v>43388.17</v>
      </c>
      <c r="D42" s="5" t="n">
        <v>6508.23</v>
      </c>
      <c r="E42" s="5" t="n">
        <v>650.8200000000001</v>
      </c>
      <c r="F42" s="5" t="n">
        <v>2000</v>
      </c>
      <c r="G42" s="5" t="n">
        <v>100</v>
      </c>
      <c r="H42" s="5" t="n">
        <v>2917</v>
      </c>
      <c r="I42" s="5" t="n">
        <v>830</v>
      </c>
      <c r="J42" s="5" t="n">
        <v>200</v>
      </c>
      <c r="K42" s="5" t="n">
        <v>60</v>
      </c>
      <c r="L42" s="5" t="n">
        <v>60</v>
      </c>
      <c r="M42" s="5" t="n">
        <v>80</v>
      </c>
      <c r="N42" s="5" t="n">
        <v>80</v>
      </c>
      <c r="O42" s="5" t="n">
        <v>500</v>
      </c>
      <c r="P42" s="5" t="n">
        <v>40</v>
      </c>
      <c r="Q42" s="5">
        <f>SUM(E42:P42)</f>
        <v/>
      </c>
      <c r="R42" s="5">
        <f>D42-Q42</f>
        <v/>
      </c>
      <c r="S42" s="5">
        <f>MAX(0,R42*0.15)</f>
        <v/>
      </c>
      <c r="T42" s="5">
        <f>R42-S42</f>
        <v/>
      </c>
    </row>
    <row r="43">
      <c r="A43" t="n">
        <v>4</v>
      </c>
      <c r="B43" t="inlineStr">
        <is>
          <t>Mayo</t>
        </is>
      </c>
      <c r="C43" s="5" t="n">
        <v>61622.33</v>
      </c>
      <c r="D43" s="5" t="n">
        <v>9243.35</v>
      </c>
      <c r="E43" s="5" t="n">
        <v>924.33</v>
      </c>
      <c r="F43" s="5" t="n">
        <v>2000</v>
      </c>
      <c r="G43" s="5" t="n">
        <v>100</v>
      </c>
      <c r="H43" s="5" t="n">
        <v>2917</v>
      </c>
      <c r="I43" s="5" t="n">
        <v>830</v>
      </c>
      <c r="J43" s="5" t="n">
        <v>200</v>
      </c>
      <c r="K43" s="5" t="n">
        <v>60</v>
      </c>
      <c r="L43" s="5" t="n">
        <v>60</v>
      </c>
      <c r="M43" s="5" t="n">
        <v>80</v>
      </c>
      <c r="N43" s="5" t="n">
        <v>80</v>
      </c>
      <c r="O43" s="5" t="n">
        <v>500</v>
      </c>
      <c r="P43" s="5" t="n">
        <v>40</v>
      </c>
      <c r="Q43" s="5">
        <f>SUM(E43:P43)</f>
        <v/>
      </c>
      <c r="R43" s="5">
        <f>D43-Q43</f>
        <v/>
      </c>
      <c r="S43" s="5">
        <f>MAX(0,R43*0.15)</f>
        <v/>
      </c>
      <c r="T43" s="5">
        <f>R43-S43</f>
        <v/>
      </c>
    </row>
    <row r="44">
      <c r="A44" t="n">
        <v>4</v>
      </c>
      <c r="B44" t="inlineStr">
        <is>
          <t>Junio</t>
        </is>
      </c>
      <c r="C44" s="5" t="n">
        <v>66083.52</v>
      </c>
      <c r="D44" s="5" t="n">
        <v>9912.530000000001</v>
      </c>
      <c r="E44" s="5" t="n">
        <v>991.25</v>
      </c>
      <c r="F44" s="5" t="n">
        <v>2000</v>
      </c>
      <c r="G44" s="5" t="n">
        <v>100</v>
      </c>
      <c r="H44" s="5" t="n">
        <v>2917</v>
      </c>
      <c r="I44" s="5" t="n">
        <v>830</v>
      </c>
      <c r="J44" s="5" t="n">
        <v>200</v>
      </c>
      <c r="K44" s="5" t="n">
        <v>60</v>
      </c>
      <c r="L44" s="5" t="n">
        <v>60</v>
      </c>
      <c r="M44" s="5" t="n">
        <v>80</v>
      </c>
      <c r="N44" s="5" t="n">
        <v>80</v>
      </c>
      <c r="O44" s="5" t="n">
        <v>500</v>
      </c>
      <c r="P44" s="5" t="n">
        <v>40</v>
      </c>
      <c r="Q44" s="5">
        <f>SUM(E44:P44)</f>
        <v/>
      </c>
      <c r="R44" s="5">
        <f>D44-Q44</f>
        <v/>
      </c>
      <c r="S44" s="5">
        <f>MAX(0,R44*0.15)</f>
        <v/>
      </c>
      <c r="T44" s="5">
        <f>R44-S44</f>
        <v/>
      </c>
    </row>
    <row r="45">
      <c r="A45" t="n">
        <v>4</v>
      </c>
      <c r="B45" t="inlineStr">
        <is>
          <t>Julio</t>
        </is>
      </c>
      <c r="C45" s="5" t="n">
        <v>93228.94</v>
      </c>
      <c r="D45" s="5" t="n">
        <v>13984.34</v>
      </c>
      <c r="E45" s="5" t="n">
        <v>1398.43</v>
      </c>
      <c r="F45" s="5" t="n">
        <v>2000</v>
      </c>
      <c r="G45" s="5" t="n">
        <v>100</v>
      </c>
      <c r="H45" s="5" t="n">
        <v>2917</v>
      </c>
      <c r="I45" s="5" t="n">
        <v>830</v>
      </c>
      <c r="J45" s="5" t="n">
        <v>200</v>
      </c>
      <c r="K45" s="5" t="n">
        <v>60</v>
      </c>
      <c r="L45" s="5" t="n">
        <v>60</v>
      </c>
      <c r="M45" s="5" t="n">
        <v>80</v>
      </c>
      <c r="N45" s="5" t="n">
        <v>80</v>
      </c>
      <c r="O45" s="5" t="n">
        <v>500</v>
      </c>
      <c r="P45" s="5" t="n">
        <v>40</v>
      </c>
      <c r="Q45" s="5">
        <f>SUM(E45:P45)</f>
        <v/>
      </c>
      <c r="R45" s="5">
        <f>D45-Q45</f>
        <v/>
      </c>
      <c r="S45" s="5">
        <f>MAX(0,R45*0.15)</f>
        <v/>
      </c>
      <c r="T45" s="5">
        <f>R45-S45</f>
        <v/>
      </c>
    </row>
    <row r="46">
      <c r="A46" t="n">
        <v>4</v>
      </c>
      <c r="B46" t="inlineStr">
        <is>
          <t>Agosto</t>
        </is>
      </c>
      <c r="C46" s="5" t="n">
        <v>135181.97</v>
      </c>
      <c r="D46" s="5" t="n">
        <v>20277.3</v>
      </c>
      <c r="E46" s="5" t="n">
        <v>2027.73</v>
      </c>
      <c r="F46" s="5" t="n">
        <v>2000</v>
      </c>
      <c r="G46" s="5" t="n">
        <v>100</v>
      </c>
      <c r="H46" s="5" t="n">
        <v>2917</v>
      </c>
      <c r="I46" s="5" t="n">
        <v>830</v>
      </c>
      <c r="J46" s="5" t="n">
        <v>200</v>
      </c>
      <c r="K46" s="5" t="n">
        <v>60</v>
      </c>
      <c r="L46" s="5" t="n">
        <v>60</v>
      </c>
      <c r="M46" s="5" t="n">
        <v>80</v>
      </c>
      <c r="N46" s="5" t="n">
        <v>80</v>
      </c>
      <c r="O46" s="5" t="n">
        <v>500</v>
      </c>
      <c r="P46" s="5" t="n">
        <v>40</v>
      </c>
      <c r="Q46" s="5">
        <f>SUM(E46:P46)</f>
        <v/>
      </c>
      <c r="R46" s="5">
        <f>D46-Q46</f>
        <v/>
      </c>
      <c r="S46" s="5">
        <f>MAX(0,R46*0.15)</f>
        <v/>
      </c>
      <c r="T46" s="5">
        <f>R46-S46</f>
        <v/>
      </c>
    </row>
    <row r="47">
      <c r="A47" t="n">
        <v>4</v>
      </c>
      <c r="B47" t="inlineStr">
        <is>
          <t>Septiembre</t>
        </is>
      </c>
      <c r="C47" s="5" t="n">
        <v>66539.64999999999</v>
      </c>
      <c r="D47" s="5" t="n">
        <v>9980.950000000001</v>
      </c>
      <c r="E47" s="5" t="n">
        <v>998.09</v>
      </c>
      <c r="F47" s="5" t="n">
        <v>2000</v>
      </c>
      <c r="G47" s="5" t="n">
        <v>100</v>
      </c>
      <c r="H47" s="5" t="n">
        <v>2917</v>
      </c>
      <c r="I47" s="5" t="n">
        <v>830</v>
      </c>
      <c r="J47" s="5" t="n">
        <v>200</v>
      </c>
      <c r="K47" s="5" t="n">
        <v>60</v>
      </c>
      <c r="L47" s="5" t="n">
        <v>60</v>
      </c>
      <c r="M47" s="5" t="n">
        <v>80</v>
      </c>
      <c r="N47" s="5" t="n">
        <v>80</v>
      </c>
      <c r="O47" s="5" t="n">
        <v>500</v>
      </c>
      <c r="P47" s="5" t="n">
        <v>40</v>
      </c>
      <c r="Q47" s="5">
        <f>SUM(E47:P47)</f>
        <v/>
      </c>
      <c r="R47" s="5">
        <f>D47-Q47</f>
        <v/>
      </c>
      <c r="S47" s="5">
        <f>MAX(0,R47*0.15)</f>
        <v/>
      </c>
      <c r="T47" s="5">
        <f>R47-S47</f>
        <v/>
      </c>
    </row>
    <row r="48">
      <c r="A48" t="n">
        <v>4</v>
      </c>
      <c r="B48" t="inlineStr">
        <is>
          <t>Octubre</t>
        </is>
      </c>
      <c r="C48" s="5" t="n">
        <v>73793.27</v>
      </c>
      <c r="D48" s="5" t="n">
        <v>11068.99</v>
      </c>
      <c r="E48" s="5" t="n">
        <v>1106.9</v>
      </c>
      <c r="F48" s="5" t="n">
        <v>2000</v>
      </c>
      <c r="G48" s="5" t="n">
        <v>100</v>
      </c>
      <c r="H48" s="5" t="n">
        <v>2917</v>
      </c>
      <c r="I48" s="5" t="n">
        <v>830</v>
      </c>
      <c r="J48" s="5" t="n">
        <v>200</v>
      </c>
      <c r="K48" s="5" t="n">
        <v>60</v>
      </c>
      <c r="L48" s="5" t="n">
        <v>60</v>
      </c>
      <c r="M48" s="5" t="n">
        <v>80</v>
      </c>
      <c r="N48" s="5" t="n">
        <v>80</v>
      </c>
      <c r="O48" s="5" t="n">
        <v>500</v>
      </c>
      <c r="P48" s="5" t="n">
        <v>40</v>
      </c>
      <c r="Q48" s="5">
        <f>SUM(E48:P48)</f>
        <v/>
      </c>
      <c r="R48" s="5">
        <f>D48-Q48</f>
        <v/>
      </c>
      <c r="S48" s="5">
        <f>MAX(0,R48*0.15)</f>
        <v/>
      </c>
      <c r="T48" s="5">
        <f>R48-S48</f>
        <v/>
      </c>
    </row>
    <row r="49">
      <c r="A49" t="n">
        <v>4</v>
      </c>
      <c r="B49" t="inlineStr">
        <is>
          <t>Noviembre</t>
        </is>
      </c>
      <c r="C49" s="5" t="n">
        <v>63758.36</v>
      </c>
      <c r="D49" s="5" t="n">
        <v>9563.75</v>
      </c>
      <c r="E49" s="5" t="n">
        <v>956.38</v>
      </c>
      <c r="F49" s="5" t="n">
        <v>2000</v>
      </c>
      <c r="G49" s="5" t="n">
        <v>100</v>
      </c>
      <c r="H49" s="5" t="n">
        <v>2917</v>
      </c>
      <c r="I49" s="5" t="n">
        <v>830</v>
      </c>
      <c r="J49" s="5" t="n">
        <v>200</v>
      </c>
      <c r="K49" s="5" t="n">
        <v>60</v>
      </c>
      <c r="L49" s="5" t="n">
        <v>60</v>
      </c>
      <c r="M49" s="5" t="n">
        <v>80</v>
      </c>
      <c r="N49" s="5" t="n">
        <v>80</v>
      </c>
      <c r="O49" s="5" t="n">
        <v>500</v>
      </c>
      <c r="P49" s="5" t="n">
        <v>40</v>
      </c>
      <c r="Q49" s="5">
        <f>SUM(E49:P49)</f>
        <v/>
      </c>
      <c r="R49" s="5">
        <f>D49-Q49</f>
        <v/>
      </c>
      <c r="S49" s="5">
        <f>MAX(0,R49*0.15)</f>
        <v/>
      </c>
      <c r="T49" s="5">
        <f>R49-S49</f>
        <v/>
      </c>
    </row>
    <row r="50">
      <c r="A50" t="n">
        <v>4</v>
      </c>
      <c r="B50" t="inlineStr">
        <is>
          <t>Diciembre</t>
        </is>
      </c>
      <c r="C50" s="5" t="n">
        <v>59386.17</v>
      </c>
      <c r="D50" s="5" t="n">
        <v>8907.93</v>
      </c>
      <c r="E50" s="5" t="n">
        <v>890.79</v>
      </c>
      <c r="F50" s="5" t="n">
        <v>2000</v>
      </c>
      <c r="G50" s="5" t="n">
        <v>100</v>
      </c>
      <c r="H50" s="5" t="n">
        <v>2917</v>
      </c>
      <c r="I50" s="5" t="n">
        <v>830</v>
      </c>
      <c r="J50" s="5" t="n">
        <v>200</v>
      </c>
      <c r="K50" s="5" t="n">
        <v>60</v>
      </c>
      <c r="L50" s="5" t="n">
        <v>60</v>
      </c>
      <c r="M50" s="5" t="n">
        <v>80</v>
      </c>
      <c r="N50" s="5" t="n">
        <v>80</v>
      </c>
      <c r="O50" s="5" t="n">
        <v>500</v>
      </c>
      <c r="P50" s="5" t="n">
        <v>40</v>
      </c>
      <c r="Q50" s="5">
        <f>SUM(E50:P50)</f>
        <v/>
      </c>
      <c r="R50" s="5">
        <f>D50-Q50</f>
        <v/>
      </c>
      <c r="S50" s="5">
        <f>MAX(0,R50*0.15)</f>
        <v/>
      </c>
      <c r="T50" s="5">
        <f>R50-S50</f>
        <v/>
      </c>
    </row>
    <row r="51">
      <c r="A51" t="n">
        <v>5</v>
      </c>
      <c r="B51" t="inlineStr">
        <is>
          <t>Enero</t>
        </is>
      </c>
      <c r="C51" s="5" t="n">
        <v>40184.12</v>
      </c>
      <c r="D51" s="5" t="n">
        <v>6027.62</v>
      </c>
      <c r="E51" s="5" t="n">
        <v>602.76</v>
      </c>
      <c r="F51" s="5" t="n">
        <v>2500</v>
      </c>
      <c r="G51" s="5" t="n">
        <v>100</v>
      </c>
      <c r="H51" s="5" t="n">
        <v>3333</v>
      </c>
      <c r="I51" s="5" t="n">
        <v>1000</v>
      </c>
      <c r="J51" s="5" t="n">
        <v>200</v>
      </c>
      <c r="K51" s="5" t="n">
        <v>60</v>
      </c>
      <c r="L51" s="5" t="n">
        <v>60</v>
      </c>
      <c r="M51" s="5" t="n">
        <v>80</v>
      </c>
      <c r="N51" s="5" t="n">
        <v>80</v>
      </c>
      <c r="O51" s="5" t="n">
        <v>500</v>
      </c>
      <c r="P51" s="5" t="n">
        <v>40</v>
      </c>
      <c r="Q51" s="5">
        <f>SUM(E51:P51)</f>
        <v/>
      </c>
      <c r="R51" s="5">
        <f>D51-Q51</f>
        <v/>
      </c>
      <c r="S51" s="5">
        <f>MAX(0,R51*0.15)</f>
        <v/>
      </c>
      <c r="T51" s="5">
        <f>R51-S51</f>
        <v/>
      </c>
    </row>
    <row r="52">
      <c r="A52" t="n">
        <v>5</v>
      </c>
      <c r="B52" t="inlineStr">
        <is>
          <t>Febrero</t>
        </is>
      </c>
      <c r="C52" s="5" t="n">
        <v>56231.49</v>
      </c>
      <c r="D52" s="5" t="n">
        <v>8434.719999999999</v>
      </c>
      <c r="E52" s="5" t="n">
        <v>843.47</v>
      </c>
      <c r="F52" s="5" t="n">
        <v>2500</v>
      </c>
      <c r="G52" s="5" t="n">
        <v>100</v>
      </c>
      <c r="H52" s="5" t="n">
        <v>3333</v>
      </c>
      <c r="I52" s="5" t="n">
        <v>1000</v>
      </c>
      <c r="J52" s="5" t="n">
        <v>200</v>
      </c>
      <c r="K52" s="5" t="n">
        <v>60</v>
      </c>
      <c r="L52" s="5" t="n">
        <v>60</v>
      </c>
      <c r="M52" s="5" t="n">
        <v>80</v>
      </c>
      <c r="N52" s="5" t="n">
        <v>80</v>
      </c>
      <c r="O52" s="5" t="n">
        <v>500</v>
      </c>
      <c r="P52" s="5" t="n">
        <v>40</v>
      </c>
      <c r="Q52" s="5">
        <f>SUM(E52:P52)</f>
        <v/>
      </c>
      <c r="R52" s="5">
        <f>D52-Q52</f>
        <v/>
      </c>
      <c r="S52" s="5">
        <f>MAX(0,R52*0.15)</f>
        <v/>
      </c>
      <c r="T52" s="5">
        <f>R52-S52</f>
        <v/>
      </c>
    </row>
    <row r="53">
      <c r="A53" t="n">
        <v>5</v>
      </c>
      <c r="B53" t="inlineStr">
        <is>
          <t>Marzo</t>
        </is>
      </c>
      <c r="C53" s="5" t="n">
        <v>83420.02</v>
      </c>
      <c r="D53" s="5" t="n">
        <v>12513</v>
      </c>
      <c r="E53" s="5" t="n">
        <v>1251.3</v>
      </c>
      <c r="F53" s="5" t="n">
        <v>2500</v>
      </c>
      <c r="G53" s="5" t="n">
        <v>100</v>
      </c>
      <c r="H53" s="5" t="n">
        <v>3333</v>
      </c>
      <c r="I53" s="5" t="n">
        <v>1000</v>
      </c>
      <c r="J53" s="5" t="n">
        <v>200</v>
      </c>
      <c r="K53" s="5" t="n">
        <v>60</v>
      </c>
      <c r="L53" s="5" t="n">
        <v>60</v>
      </c>
      <c r="M53" s="5" t="n">
        <v>80</v>
      </c>
      <c r="N53" s="5" t="n">
        <v>80</v>
      </c>
      <c r="O53" s="5" t="n">
        <v>500</v>
      </c>
      <c r="P53" s="5" t="n">
        <v>40</v>
      </c>
      <c r="Q53" s="5">
        <f>SUM(E53:P53)</f>
        <v/>
      </c>
      <c r="R53" s="5">
        <f>D53-Q53</f>
        <v/>
      </c>
      <c r="S53" s="5">
        <f>MAX(0,R53*0.15)</f>
        <v/>
      </c>
      <c r="T53" s="5">
        <f>R53-S53</f>
        <v/>
      </c>
    </row>
    <row r="54">
      <c r="A54" t="n">
        <v>5</v>
      </c>
      <c r="B54" t="inlineStr">
        <is>
          <t>Abril</t>
        </is>
      </c>
      <c r="C54" s="5" t="n">
        <v>56946.97</v>
      </c>
      <c r="D54" s="5" t="n">
        <v>8542.049999999999</v>
      </c>
      <c r="E54" s="5" t="n">
        <v>854.2</v>
      </c>
      <c r="F54" s="5" t="n">
        <v>2500</v>
      </c>
      <c r="G54" s="5" t="n">
        <v>100</v>
      </c>
      <c r="H54" s="5" t="n">
        <v>3333</v>
      </c>
      <c r="I54" s="5" t="n">
        <v>1000</v>
      </c>
      <c r="J54" s="5" t="n">
        <v>200</v>
      </c>
      <c r="K54" s="5" t="n">
        <v>60</v>
      </c>
      <c r="L54" s="5" t="n">
        <v>60</v>
      </c>
      <c r="M54" s="5" t="n">
        <v>80</v>
      </c>
      <c r="N54" s="5" t="n">
        <v>80</v>
      </c>
      <c r="O54" s="5" t="n">
        <v>500</v>
      </c>
      <c r="P54" s="5" t="n">
        <v>40</v>
      </c>
      <c r="Q54" s="5">
        <f>SUM(E54:P54)</f>
        <v/>
      </c>
      <c r="R54" s="5">
        <f>D54-Q54</f>
        <v/>
      </c>
      <c r="S54" s="5">
        <f>MAX(0,R54*0.15)</f>
        <v/>
      </c>
      <c r="T54" s="5">
        <f>R54-S54</f>
        <v/>
      </c>
    </row>
    <row r="55">
      <c r="A55" t="n">
        <v>5</v>
      </c>
      <c r="B55" t="inlineStr">
        <is>
          <t>Mayo</t>
        </is>
      </c>
      <c r="C55" s="5" t="n">
        <v>80879.31</v>
      </c>
      <c r="D55" s="5" t="n">
        <v>12131.9</v>
      </c>
      <c r="E55" s="5" t="n">
        <v>1213.19</v>
      </c>
      <c r="F55" s="5" t="n">
        <v>2500</v>
      </c>
      <c r="G55" s="5" t="n">
        <v>100</v>
      </c>
      <c r="H55" s="5" t="n">
        <v>3333</v>
      </c>
      <c r="I55" s="5" t="n">
        <v>1000</v>
      </c>
      <c r="J55" s="5" t="n">
        <v>200</v>
      </c>
      <c r="K55" s="5" t="n">
        <v>60</v>
      </c>
      <c r="L55" s="5" t="n">
        <v>60</v>
      </c>
      <c r="M55" s="5" t="n">
        <v>80</v>
      </c>
      <c r="N55" s="5" t="n">
        <v>80</v>
      </c>
      <c r="O55" s="5" t="n">
        <v>500</v>
      </c>
      <c r="P55" s="5" t="n">
        <v>40</v>
      </c>
      <c r="Q55" s="5">
        <f>SUM(E55:P55)</f>
        <v/>
      </c>
      <c r="R55" s="5">
        <f>D55-Q55</f>
        <v/>
      </c>
      <c r="S55" s="5">
        <f>MAX(0,R55*0.15)</f>
        <v/>
      </c>
      <c r="T55" s="5">
        <f>R55-S55</f>
        <v/>
      </c>
    </row>
    <row r="56">
      <c r="A56" t="n">
        <v>5</v>
      </c>
      <c r="B56" t="inlineStr">
        <is>
          <t>Junio</t>
        </is>
      </c>
      <c r="C56" s="5" t="n">
        <v>86734.62</v>
      </c>
      <c r="D56" s="5" t="n">
        <v>13010.19</v>
      </c>
      <c r="E56" s="5" t="n">
        <v>1301.02</v>
      </c>
      <c r="F56" s="5" t="n">
        <v>2500</v>
      </c>
      <c r="G56" s="5" t="n">
        <v>100</v>
      </c>
      <c r="H56" s="5" t="n">
        <v>3333</v>
      </c>
      <c r="I56" s="5" t="n">
        <v>1000</v>
      </c>
      <c r="J56" s="5" t="n">
        <v>200</v>
      </c>
      <c r="K56" s="5" t="n">
        <v>60</v>
      </c>
      <c r="L56" s="5" t="n">
        <v>60</v>
      </c>
      <c r="M56" s="5" t="n">
        <v>80</v>
      </c>
      <c r="N56" s="5" t="n">
        <v>80</v>
      </c>
      <c r="O56" s="5" t="n">
        <v>500</v>
      </c>
      <c r="P56" s="5" t="n">
        <v>40</v>
      </c>
      <c r="Q56" s="5">
        <f>SUM(E56:P56)</f>
        <v/>
      </c>
      <c r="R56" s="5">
        <f>D56-Q56</f>
        <v/>
      </c>
      <c r="S56" s="5">
        <f>MAX(0,R56*0.15)</f>
        <v/>
      </c>
      <c r="T56" s="5">
        <f>R56-S56</f>
        <v/>
      </c>
    </row>
    <row r="57">
      <c r="A57" t="n">
        <v>5</v>
      </c>
      <c r="B57" t="inlineStr">
        <is>
          <t>Julio</t>
        </is>
      </c>
      <c r="C57" s="5" t="n">
        <v>122362.99</v>
      </c>
      <c r="D57" s="5" t="n">
        <v>18354.45</v>
      </c>
      <c r="E57" s="5" t="n">
        <v>1835.44</v>
      </c>
      <c r="F57" s="5" t="n">
        <v>2500</v>
      </c>
      <c r="G57" s="5" t="n">
        <v>100</v>
      </c>
      <c r="H57" s="5" t="n">
        <v>3333</v>
      </c>
      <c r="I57" s="5" t="n">
        <v>1000</v>
      </c>
      <c r="J57" s="5" t="n">
        <v>200</v>
      </c>
      <c r="K57" s="5" t="n">
        <v>60</v>
      </c>
      <c r="L57" s="5" t="n">
        <v>60</v>
      </c>
      <c r="M57" s="5" t="n">
        <v>80</v>
      </c>
      <c r="N57" s="5" t="n">
        <v>80</v>
      </c>
      <c r="O57" s="5" t="n">
        <v>500</v>
      </c>
      <c r="P57" s="5" t="n">
        <v>40</v>
      </c>
      <c r="Q57" s="5">
        <f>SUM(E57:P57)</f>
        <v/>
      </c>
      <c r="R57" s="5">
        <f>D57-Q57</f>
        <v/>
      </c>
      <c r="S57" s="5">
        <f>MAX(0,R57*0.15)</f>
        <v/>
      </c>
      <c r="T57" s="5">
        <f>R57-S57</f>
        <v/>
      </c>
    </row>
    <row r="58">
      <c r="A58" t="n">
        <v>5</v>
      </c>
      <c r="B58" t="inlineStr">
        <is>
          <t>Agosto</t>
        </is>
      </c>
      <c r="C58" s="5" t="n">
        <v>177426.33</v>
      </c>
      <c r="D58" s="5" t="n">
        <v>26613.95</v>
      </c>
      <c r="E58" s="5" t="n">
        <v>2661.39</v>
      </c>
      <c r="F58" s="5" t="n">
        <v>2500</v>
      </c>
      <c r="G58" s="5" t="n">
        <v>100</v>
      </c>
      <c r="H58" s="5" t="n">
        <v>3333</v>
      </c>
      <c r="I58" s="5" t="n">
        <v>1000</v>
      </c>
      <c r="J58" s="5" t="n">
        <v>200</v>
      </c>
      <c r="K58" s="5" t="n">
        <v>60</v>
      </c>
      <c r="L58" s="5" t="n">
        <v>60</v>
      </c>
      <c r="M58" s="5" t="n">
        <v>80</v>
      </c>
      <c r="N58" s="5" t="n">
        <v>80</v>
      </c>
      <c r="O58" s="5" t="n">
        <v>500</v>
      </c>
      <c r="P58" s="5" t="n">
        <v>40</v>
      </c>
      <c r="Q58" s="5">
        <f>SUM(E58:P58)</f>
        <v/>
      </c>
      <c r="R58" s="5">
        <f>D58-Q58</f>
        <v/>
      </c>
      <c r="S58" s="5">
        <f>MAX(0,R58*0.15)</f>
        <v/>
      </c>
      <c r="T58" s="5">
        <f>R58-S58</f>
        <v/>
      </c>
    </row>
    <row r="59">
      <c r="A59" t="n">
        <v>5</v>
      </c>
      <c r="B59" t="inlineStr">
        <is>
          <t>Septiembre</t>
        </is>
      </c>
      <c r="C59" s="5" t="n">
        <v>87333.3</v>
      </c>
      <c r="D59" s="5" t="n">
        <v>13100</v>
      </c>
      <c r="E59" s="5" t="n">
        <v>1310</v>
      </c>
      <c r="F59" s="5" t="n">
        <v>2500</v>
      </c>
      <c r="G59" s="5" t="n">
        <v>100</v>
      </c>
      <c r="H59" s="5" t="n">
        <v>3333</v>
      </c>
      <c r="I59" s="5" t="n">
        <v>1000</v>
      </c>
      <c r="J59" s="5" t="n">
        <v>200</v>
      </c>
      <c r="K59" s="5" t="n">
        <v>60</v>
      </c>
      <c r="L59" s="5" t="n">
        <v>60</v>
      </c>
      <c r="M59" s="5" t="n">
        <v>80</v>
      </c>
      <c r="N59" s="5" t="n">
        <v>80</v>
      </c>
      <c r="O59" s="5" t="n">
        <v>500</v>
      </c>
      <c r="P59" s="5" t="n">
        <v>40</v>
      </c>
      <c r="Q59" s="5">
        <f>SUM(E59:P59)</f>
        <v/>
      </c>
      <c r="R59" s="5">
        <f>D59-Q59</f>
        <v/>
      </c>
      <c r="S59" s="5">
        <f>MAX(0,R59*0.15)</f>
        <v/>
      </c>
      <c r="T59" s="5">
        <f>R59-S59</f>
        <v/>
      </c>
    </row>
    <row r="60">
      <c r="A60" t="n">
        <v>5</v>
      </c>
      <c r="B60" t="inlineStr">
        <is>
          <t>Octubre</t>
        </is>
      </c>
      <c r="C60" s="5" t="n">
        <v>96853.66</v>
      </c>
      <c r="D60" s="5" t="n">
        <v>14528.05</v>
      </c>
      <c r="E60" s="5" t="n">
        <v>1452.8</v>
      </c>
      <c r="F60" s="5" t="n">
        <v>2500</v>
      </c>
      <c r="G60" s="5" t="n">
        <v>100</v>
      </c>
      <c r="H60" s="5" t="n">
        <v>3333</v>
      </c>
      <c r="I60" s="5" t="n">
        <v>1000</v>
      </c>
      <c r="J60" s="5" t="n">
        <v>200</v>
      </c>
      <c r="K60" s="5" t="n">
        <v>60</v>
      </c>
      <c r="L60" s="5" t="n">
        <v>60</v>
      </c>
      <c r="M60" s="5" t="n">
        <v>80</v>
      </c>
      <c r="N60" s="5" t="n">
        <v>80</v>
      </c>
      <c r="O60" s="5" t="n">
        <v>500</v>
      </c>
      <c r="P60" s="5" t="n">
        <v>40</v>
      </c>
      <c r="Q60" s="5">
        <f>SUM(E60:P60)</f>
        <v/>
      </c>
      <c r="R60" s="5">
        <f>D60-Q60</f>
        <v/>
      </c>
      <c r="S60" s="5">
        <f>MAX(0,R60*0.15)</f>
        <v/>
      </c>
      <c r="T60" s="5">
        <f>R60-S60</f>
        <v/>
      </c>
    </row>
    <row r="61">
      <c r="A61" t="n">
        <v>5</v>
      </c>
      <c r="B61" t="inlineStr">
        <is>
          <t>Noviembre</t>
        </is>
      </c>
      <c r="C61" s="5" t="n">
        <v>83682.85000000001</v>
      </c>
      <c r="D61" s="5" t="n">
        <v>12552.43</v>
      </c>
      <c r="E61" s="5" t="n">
        <v>1255.24</v>
      </c>
      <c r="F61" s="5" t="n">
        <v>2500</v>
      </c>
      <c r="G61" s="5" t="n">
        <v>100</v>
      </c>
      <c r="H61" s="5" t="n">
        <v>3333</v>
      </c>
      <c r="I61" s="5" t="n">
        <v>1000</v>
      </c>
      <c r="J61" s="5" t="n">
        <v>200</v>
      </c>
      <c r="K61" s="5" t="n">
        <v>60</v>
      </c>
      <c r="L61" s="5" t="n">
        <v>60</v>
      </c>
      <c r="M61" s="5" t="n">
        <v>80</v>
      </c>
      <c r="N61" s="5" t="n">
        <v>80</v>
      </c>
      <c r="O61" s="5" t="n">
        <v>500</v>
      </c>
      <c r="P61" s="5" t="n">
        <v>40</v>
      </c>
      <c r="Q61" s="5">
        <f>SUM(E61:P61)</f>
        <v/>
      </c>
      <c r="R61" s="5">
        <f>D61-Q61</f>
        <v/>
      </c>
      <c r="S61" s="5">
        <f>MAX(0,R61*0.15)</f>
        <v/>
      </c>
      <c r="T61" s="5">
        <f>R61-S61</f>
        <v/>
      </c>
    </row>
    <row r="62">
      <c r="A62" t="n">
        <v>5</v>
      </c>
      <c r="B62" t="inlineStr">
        <is>
          <t>Diciembre</t>
        </is>
      </c>
      <c r="C62" s="5" t="n">
        <v>77944.35000000001</v>
      </c>
      <c r="D62" s="5" t="n">
        <v>11691.65</v>
      </c>
      <c r="E62" s="5" t="n">
        <v>1169.17</v>
      </c>
      <c r="F62" s="5" t="n">
        <v>2500</v>
      </c>
      <c r="G62" s="5" t="n">
        <v>100</v>
      </c>
      <c r="H62" s="5" t="n">
        <v>3333</v>
      </c>
      <c r="I62" s="5" t="n">
        <v>1000</v>
      </c>
      <c r="J62" s="5" t="n">
        <v>200</v>
      </c>
      <c r="K62" s="5" t="n">
        <v>60</v>
      </c>
      <c r="L62" s="5" t="n">
        <v>60</v>
      </c>
      <c r="M62" s="5" t="n">
        <v>80</v>
      </c>
      <c r="N62" s="5" t="n">
        <v>80</v>
      </c>
      <c r="O62" s="5" t="n">
        <v>500</v>
      </c>
      <c r="P62" s="5" t="n">
        <v>40</v>
      </c>
      <c r="Q62" s="5">
        <f>SUM(E62:P62)</f>
        <v/>
      </c>
      <c r="R62" s="5">
        <f>D62-Q62</f>
        <v/>
      </c>
      <c r="S62" s="5">
        <f>MAX(0,R62*0.15)</f>
        <v/>
      </c>
      <c r="T62" s="5">
        <f>R62-S62</f>
        <v/>
      </c>
    </row>
  </sheetData>
  <mergeCells count="1">
    <mergeCell ref="A1:T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2"/>
  <sheetViews>
    <sheetView workbookViewId="0">
      <pane xSplit="2" ySplit="1" topLeftCell="C45" activePane="bottomRight" state="frozen"/>
      <selection pane="topRight" activeCell="A1" sqref="A1"/>
      <selection pane="bottomLeft" activeCell="A1" sqref="A1"/>
      <selection pane="bottomRight" activeCell="A78" sqref="A78"/>
    </sheetView>
  </sheetViews>
  <sheetFormatPr baseColWidth="10" defaultColWidth="9.140625" defaultRowHeight="15"/>
  <cols>
    <col width="13" customWidth="1" style="32" min="1" max="1"/>
    <col width="12" customWidth="1" style="32" min="2" max="2"/>
    <col width="13" customWidth="1" style="32" min="3" max="3"/>
    <col width="18" customWidth="1" style="32" min="4" max="4"/>
    <col width="13" customWidth="1" style="32" min="5" max="20"/>
    <col width="13" customWidth="1" style="32" min="6" max="6"/>
    <col width="13" customWidth="1" style="32" min="7" max="7"/>
    <col width="13" customWidth="1" style="32" min="8" max="8"/>
    <col width="13" customWidth="1" style="32" min="9" max="9"/>
    <col width="13" customWidth="1" style="32" min="10" max="10"/>
    <col width="13" customWidth="1" style="32" min="11" max="11"/>
    <col width="13" customWidth="1" style="32" min="12" max="12"/>
    <col width="13" customWidth="1" style="32" min="13" max="13"/>
    <col width="13" customWidth="1" style="32" min="14" max="14"/>
    <col width="13" customWidth="1" style="32" min="15" max="15"/>
    <col width="13" customWidth="1" style="32" min="16" max="16"/>
    <col width="13" customWidth="1" style="32" min="17" max="17"/>
    <col width="13" customWidth="1" style="32" min="18" max="18"/>
    <col width="13" customWidth="1" style="32" min="19" max="19"/>
    <col width="13" customWidth="1" style="32" min="20" max="20"/>
  </cols>
  <sheetData>
    <row r="1" ht="32.1" customHeight="1" s="32">
      <c r="A1" s="42" t="inlineStr">
        <is>
          <t>ESCENARIO CONSERVADOR (activo) — GMV≠ingreso SL | Y1: venta jul–dic | Amortización desde lanzamiento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30" t="n"/>
      <c r="T1" s="30" t="n"/>
    </row>
    <row r="2" ht="30" customHeight="1" s="32">
      <c r="A2" s="38" t="inlineStr">
        <is>
          <t>Año</t>
        </is>
      </c>
      <c r="B2" s="38" t="inlineStr">
        <is>
          <t>Mes</t>
        </is>
      </c>
      <c r="C2" s="43" t="inlineStr">
        <is>
          <t>GMV vendedores</t>
        </is>
      </c>
      <c r="D2" s="43" t="inlineStr">
        <is>
          <t>Ingresos comisión (15%)</t>
        </is>
      </c>
      <c r="E2" s="43" t="inlineStr">
        <is>
          <t>Coste medios pago</t>
        </is>
      </c>
      <c r="F2" s="43" t="inlineStr">
        <is>
          <t>Personal</t>
        </is>
      </c>
      <c r="G2" s="43" t="inlineStr">
        <is>
          <t>Transportes/logística</t>
        </is>
      </c>
      <c r="H2" s="43" t="inlineStr">
        <is>
          <t>Marketing</t>
        </is>
      </c>
      <c r="I2" s="43" t="inlineStr">
        <is>
          <t>Hosting/software</t>
        </is>
      </c>
      <c r="J2" s="43" t="inlineStr">
        <is>
          <t>Gestoría/contabilidad</t>
        </is>
      </c>
      <c r="K2" s="43" t="inlineStr">
        <is>
          <t>Seguros</t>
        </is>
      </c>
      <c r="L2" s="43" t="inlineStr">
        <is>
          <t>Telefonía/Internet</t>
        </is>
      </c>
      <c r="M2" s="43" t="inlineStr">
        <is>
          <t>Suministros/oficina</t>
        </is>
      </c>
      <c r="N2" s="43" t="inlineStr">
        <is>
          <t>Otros corrientes</t>
        </is>
      </c>
      <c r="O2" s="43" t="inlineStr">
        <is>
          <t>Amortizaciones</t>
        </is>
      </c>
      <c r="P2" s="43" t="inlineStr">
        <is>
          <t>Gastos financieros</t>
        </is>
      </c>
      <c r="Q2" s="43" t="inlineStr">
        <is>
          <t>Total gastos</t>
        </is>
      </c>
      <c r="R2" s="43" t="inlineStr">
        <is>
          <t>Resultado antes impuestos</t>
        </is>
      </c>
      <c r="S2" s="43" t="inlineStr">
        <is>
          <t>Impuesto Sociedades</t>
        </is>
      </c>
      <c r="T2" s="43" t="inlineStr">
        <is>
          <t>Resultado neto</t>
        </is>
      </c>
    </row>
    <row r="3">
      <c r="A3" t="n">
        <v>1</v>
      </c>
      <c r="B3" t="inlineStr">
        <is>
          <t>Enero</t>
        </is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80</v>
      </c>
      <c r="J3" s="5" t="n">
        <v>120</v>
      </c>
      <c r="K3" s="5" t="n">
        <v>30</v>
      </c>
      <c r="L3" s="5" t="n">
        <v>35</v>
      </c>
      <c r="M3" s="5" t="n">
        <v>40</v>
      </c>
      <c r="N3" s="5" t="n">
        <v>25</v>
      </c>
      <c r="O3" s="5" t="n">
        <v>0</v>
      </c>
      <c r="P3" s="5" t="n">
        <v>10</v>
      </c>
      <c r="Q3" s="5">
        <f>SUM(E3:P3)</f>
        <v/>
      </c>
      <c r="R3" s="5">
        <f>D3-Q3</f>
        <v/>
      </c>
      <c r="S3" s="5">
        <f>MAX(0,R3*0.15)</f>
        <v/>
      </c>
      <c r="T3" s="5">
        <f>R3-S3</f>
        <v/>
      </c>
    </row>
    <row r="4">
      <c r="A4" t="n">
        <v>1</v>
      </c>
      <c r="B4" t="inlineStr">
        <is>
          <t>Febrero</t>
        </is>
      </c>
      <c r="C4" s="5" t="n">
        <v>0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80</v>
      </c>
      <c r="J4" s="5" t="n">
        <v>120</v>
      </c>
      <c r="K4" s="5" t="n">
        <v>30</v>
      </c>
      <c r="L4" s="5" t="n">
        <v>35</v>
      </c>
      <c r="M4" s="5" t="n">
        <v>40</v>
      </c>
      <c r="N4" s="5" t="n">
        <v>25</v>
      </c>
      <c r="O4" s="5" t="n">
        <v>0</v>
      </c>
      <c r="P4" s="5" t="n">
        <v>10</v>
      </c>
      <c r="Q4" s="5">
        <f>SUM(E4:P4)</f>
        <v/>
      </c>
      <c r="R4" s="5">
        <f>D4-Q4</f>
        <v/>
      </c>
      <c r="S4" s="5">
        <f>MAX(0,R4*0.15)</f>
        <v/>
      </c>
      <c r="T4" s="5">
        <f>R4-S4</f>
        <v/>
      </c>
    </row>
    <row r="5">
      <c r="A5" t="n">
        <v>1</v>
      </c>
      <c r="B5" t="inlineStr">
        <is>
          <t>Marzo</t>
        </is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80</v>
      </c>
      <c r="J5" s="5" t="n">
        <v>120</v>
      </c>
      <c r="K5" s="5" t="n">
        <v>30</v>
      </c>
      <c r="L5" s="5" t="n">
        <v>35</v>
      </c>
      <c r="M5" s="5" t="n">
        <v>40</v>
      </c>
      <c r="N5" s="5" t="n">
        <v>25</v>
      </c>
      <c r="O5" s="5" t="n">
        <v>0</v>
      </c>
      <c r="P5" s="5" t="n">
        <v>10</v>
      </c>
      <c r="Q5" s="5">
        <f>SUM(E5:P5)</f>
        <v/>
      </c>
      <c r="R5" s="5">
        <f>D5-Q5</f>
        <v/>
      </c>
      <c r="S5" s="5">
        <f>MAX(0,R5*0.15)</f>
        <v/>
      </c>
      <c r="T5" s="5">
        <f>R5-S5</f>
        <v/>
      </c>
    </row>
    <row r="6">
      <c r="A6" t="n">
        <v>1</v>
      </c>
      <c r="B6" t="inlineStr">
        <is>
          <t>Abril</t>
        </is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80</v>
      </c>
      <c r="J6" s="5" t="n">
        <v>120</v>
      </c>
      <c r="K6" s="5" t="n">
        <v>30</v>
      </c>
      <c r="L6" s="5" t="n">
        <v>35</v>
      </c>
      <c r="M6" s="5" t="n">
        <v>40</v>
      </c>
      <c r="N6" s="5" t="n">
        <v>25</v>
      </c>
      <c r="O6" s="5" t="n">
        <v>0</v>
      </c>
      <c r="P6" s="5" t="n">
        <v>10</v>
      </c>
      <c r="Q6" s="5">
        <f>SUM(E6:P6)</f>
        <v/>
      </c>
      <c r="R6" s="5">
        <f>D6-Q6</f>
        <v/>
      </c>
      <c r="S6" s="5">
        <f>MAX(0,R6*0.15)</f>
        <v/>
      </c>
      <c r="T6" s="5">
        <f>R6-S6</f>
        <v/>
      </c>
    </row>
    <row r="7">
      <c r="A7" t="n">
        <v>1</v>
      </c>
      <c r="B7" t="inlineStr">
        <is>
          <t>Mayo</t>
        </is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80</v>
      </c>
      <c r="J7" s="5" t="n">
        <v>120</v>
      </c>
      <c r="K7" s="5" t="n">
        <v>30</v>
      </c>
      <c r="L7" s="5" t="n">
        <v>35</v>
      </c>
      <c r="M7" s="5" t="n">
        <v>40</v>
      </c>
      <c r="N7" s="5" t="n">
        <v>25</v>
      </c>
      <c r="O7" s="5" t="n">
        <v>0</v>
      </c>
      <c r="P7" s="5" t="n">
        <v>10</v>
      </c>
      <c r="Q7" s="5">
        <f>SUM(E7:P7)</f>
        <v/>
      </c>
      <c r="R7" s="5">
        <f>D7-Q7</f>
        <v/>
      </c>
      <c r="S7" s="5">
        <f>MAX(0,R7*0.15)</f>
        <v/>
      </c>
      <c r="T7" s="5">
        <f>R7-S7</f>
        <v/>
      </c>
    </row>
    <row r="8">
      <c r="A8" t="n">
        <v>1</v>
      </c>
      <c r="B8" t="inlineStr">
        <is>
          <t>Junio</t>
        </is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80</v>
      </c>
      <c r="J8" s="5" t="n">
        <v>120</v>
      </c>
      <c r="K8" s="5" t="n">
        <v>30</v>
      </c>
      <c r="L8" s="5" t="n">
        <v>35</v>
      </c>
      <c r="M8" s="5" t="n">
        <v>40</v>
      </c>
      <c r="N8" s="5" t="n">
        <v>25</v>
      </c>
      <c r="O8" s="5" t="n">
        <v>0</v>
      </c>
      <c r="P8" s="5" t="n">
        <v>10</v>
      </c>
      <c r="Q8" s="5">
        <f>SUM(E8:P8)</f>
        <v/>
      </c>
      <c r="R8" s="5">
        <f>D8-Q8</f>
        <v/>
      </c>
      <c r="S8" s="5">
        <f>MAX(0,R8*0.15)</f>
        <v/>
      </c>
      <c r="T8" s="5">
        <f>R8-S8</f>
        <v/>
      </c>
    </row>
    <row r="9">
      <c r="A9" t="n">
        <v>1</v>
      </c>
      <c r="B9" t="inlineStr">
        <is>
          <t>Julio</t>
        </is>
      </c>
      <c r="C9" s="5" t="n">
        <v>7581.31</v>
      </c>
      <c r="D9" s="5" t="n">
        <v>1137.2</v>
      </c>
      <c r="E9" s="5" t="n">
        <v>113.72</v>
      </c>
      <c r="F9" s="5" t="n">
        <v>0</v>
      </c>
      <c r="G9" s="5" t="n">
        <v>0</v>
      </c>
      <c r="H9" s="5" t="n">
        <v>350</v>
      </c>
      <c r="I9" s="5" t="n">
        <v>180</v>
      </c>
      <c r="J9" s="5" t="n">
        <v>120</v>
      </c>
      <c r="K9" s="5" t="n">
        <v>30</v>
      </c>
      <c r="L9" s="5" t="n">
        <v>35</v>
      </c>
      <c r="M9" s="5" t="n">
        <v>40</v>
      </c>
      <c r="N9" s="5" t="n">
        <v>25</v>
      </c>
      <c r="O9" s="5" t="n">
        <v>500</v>
      </c>
      <c r="P9" s="5" t="n">
        <v>10</v>
      </c>
      <c r="Q9" s="5">
        <f>SUM(E9:P9)</f>
        <v/>
      </c>
      <c r="R9" s="5">
        <f>D9-Q9</f>
        <v/>
      </c>
      <c r="S9" s="5">
        <f>MAX(0,R9*0.15)</f>
        <v/>
      </c>
      <c r="T9" s="5">
        <f>R9-S9</f>
        <v/>
      </c>
    </row>
    <row r="10">
      <c r="A10" t="n">
        <v>1</v>
      </c>
      <c r="B10" t="inlineStr">
        <is>
          <t>Agosto</t>
        </is>
      </c>
      <c r="C10" s="5" t="n">
        <v>10992.9</v>
      </c>
      <c r="D10" s="5" t="n">
        <v>1648.93</v>
      </c>
      <c r="E10" s="5" t="n">
        <v>164.89</v>
      </c>
      <c r="F10" s="5" t="n">
        <v>0</v>
      </c>
      <c r="G10" s="5" t="n">
        <v>0</v>
      </c>
      <c r="H10" s="5" t="n">
        <v>350</v>
      </c>
      <c r="I10" s="5" t="n">
        <v>180</v>
      </c>
      <c r="J10" s="5" t="n">
        <v>120</v>
      </c>
      <c r="K10" s="5" t="n">
        <v>30</v>
      </c>
      <c r="L10" s="5" t="n">
        <v>35</v>
      </c>
      <c r="M10" s="5" t="n">
        <v>40</v>
      </c>
      <c r="N10" s="5" t="n">
        <v>25</v>
      </c>
      <c r="O10" s="5" t="n">
        <v>500</v>
      </c>
      <c r="P10" s="5" t="n">
        <v>10</v>
      </c>
      <c r="Q10" s="5">
        <f>SUM(E10:P10)</f>
        <v/>
      </c>
      <c r="R10" s="5">
        <f>D10-Q10</f>
        <v/>
      </c>
      <c r="S10" s="5">
        <f>MAX(0,R10*0.15)</f>
        <v/>
      </c>
      <c r="T10" s="5">
        <f>R10-S10</f>
        <v/>
      </c>
    </row>
    <row r="11">
      <c r="A11" t="n">
        <v>1</v>
      </c>
      <c r="B11" t="inlineStr">
        <is>
          <t>Septiembre</t>
        </is>
      </c>
      <c r="C11" s="5" t="n">
        <v>5410.96</v>
      </c>
      <c r="D11" s="5" t="n">
        <v>811.64</v>
      </c>
      <c r="E11" s="5" t="n">
        <v>81.16</v>
      </c>
      <c r="F11" s="5" t="n">
        <v>0</v>
      </c>
      <c r="G11" s="5" t="n">
        <v>0</v>
      </c>
      <c r="H11" s="5" t="n">
        <v>350</v>
      </c>
      <c r="I11" s="5" t="n">
        <v>180</v>
      </c>
      <c r="J11" s="5" t="n">
        <v>120</v>
      </c>
      <c r="K11" s="5" t="n">
        <v>30</v>
      </c>
      <c r="L11" s="5" t="n">
        <v>35</v>
      </c>
      <c r="M11" s="5" t="n">
        <v>40</v>
      </c>
      <c r="N11" s="5" t="n">
        <v>25</v>
      </c>
      <c r="O11" s="5" t="n">
        <v>500</v>
      </c>
      <c r="P11" s="5" t="n">
        <v>10</v>
      </c>
      <c r="Q11" s="5">
        <f>SUM(E11:P11)</f>
        <v/>
      </c>
      <c r="R11" s="5">
        <f>D11-Q11</f>
        <v/>
      </c>
      <c r="S11" s="5">
        <f>MAX(0,R11*0.15)</f>
        <v/>
      </c>
      <c r="T11" s="5">
        <f>R11-S11</f>
        <v/>
      </c>
    </row>
    <row r="12">
      <c r="A12" t="n">
        <v>1</v>
      </c>
      <c r="B12" t="inlineStr">
        <is>
          <t>Octubre</t>
        </is>
      </c>
      <c r="C12" s="5" t="n">
        <v>6000.81</v>
      </c>
      <c r="D12" s="5" t="n">
        <v>900.12</v>
      </c>
      <c r="E12" s="5" t="n">
        <v>90.01000000000001</v>
      </c>
      <c r="F12" s="5" t="n">
        <v>0</v>
      </c>
      <c r="G12" s="5" t="n">
        <v>0</v>
      </c>
      <c r="H12" s="5" t="n">
        <v>350</v>
      </c>
      <c r="I12" s="5" t="n">
        <v>180</v>
      </c>
      <c r="J12" s="5" t="n">
        <v>120</v>
      </c>
      <c r="K12" s="5" t="n">
        <v>30</v>
      </c>
      <c r="L12" s="5" t="n">
        <v>35</v>
      </c>
      <c r="M12" s="5" t="n">
        <v>40</v>
      </c>
      <c r="N12" s="5" t="n">
        <v>25</v>
      </c>
      <c r="O12" s="5" t="n">
        <v>500</v>
      </c>
      <c r="P12" s="5" t="n">
        <v>10</v>
      </c>
      <c r="Q12" s="5">
        <f>SUM(E12:P12)</f>
        <v/>
      </c>
      <c r="R12" s="5">
        <f>D12-Q12</f>
        <v/>
      </c>
      <c r="S12" s="5">
        <f>MAX(0,R12*0.15)</f>
        <v/>
      </c>
      <c r="T12" s="5">
        <f>R12-S12</f>
        <v/>
      </c>
    </row>
    <row r="13">
      <c r="A13" t="n">
        <v>1</v>
      </c>
      <c r="B13" t="inlineStr">
        <is>
          <t>Noviembre</t>
        </is>
      </c>
      <c r="C13" s="5" t="n">
        <v>5184.78</v>
      </c>
      <c r="D13" s="5" t="n">
        <v>777.72</v>
      </c>
      <c r="E13" s="5" t="n">
        <v>77.77</v>
      </c>
      <c r="F13" s="5" t="n">
        <v>0</v>
      </c>
      <c r="G13" s="5" t="n">
        <v>0</v>
      </c>
      <c r="H13" s="5" t="n">
        <v>350</v>
      </c>
      <c r="I13" s="5" t="n">
        <v>180</v>
      </c>
      <c r="J13" s="5" t="n">
        <v>120</v>
      </c>
      <c r="K13" s="5" t="n">
        <v>30</v>
      </c>
      <c r="L13" s="5" t="n">
        <v>35</v>
      </c>
      <c r="M13" s="5" t="n">
        <v>40</v>
      </c>
      <c r="N13" s="5" t="n">
        <v>25</v>
      </c>
      <c r="O13" s="5" t="n">
        <v>500</v>
      </c>
      <c r="P13" s="5" t="n">
        <v>10</v>
      </c>
      <c r="Q13" s="5">
        <f>SUM(E13:P13)</f>
        <v/>
      </c>
      <c r="R13" s="5">
        <f>D13-Q13</f>
        <v/>
      </c>
      <c r="S13" s="5">
        <f>MAX(0,R13*0.15)</f>
        <v/>
      </c>
      <c r="T13" s="5">
        <f>R13-S13</f>
        <v/>
      </c>
    </row>
    <row r="14">
      <c r="A14" t="n">
        <v>1</v>
      </c>
      <c r="B14" t="inlineStr">
        <is>
          <t>Diciembre</t>
        </is>
      </c>
      <c r="C14" s="5" t="n">
        <v>4829.24</v>
      </c>
      <c r="D14" s="5" t="n">
        <v>724.39</v>
      </c>
      <c r="E14" s="5" t="n">
        <v>72.44</v>
      </c>
      <c r="F14" s="5" t="n">
        <v>0</v>
      </c>
      <c r="G14" s="5" t="n">
        <v>0</v>
      </c>
      <c r="H14" s="5" t="n">
        <v>350</v>
      </c>
      <c r="I14" s="5" t="n">
        <v>180</v>
      </c>
      <c r="J14" s="5" t="n">
        <v>120</v>
      </c>
      <c r="K14" s="5" t="n">
        <v>30</v>
      </c>
      <c r="L14" s="5" t="n">
        <v>35</v>
      </c>
      <c r="M14" s="5" t="n">
        <v>40</v>
      </c>
      <c r="N14" s="5" t="n">
        <v>25</v>
      </c>
      <c r="O14" s="5" t="n">
        <v>500</v>
      </c>
      <c r="P14" s="5" t="n">
        <v>10</v>
      </c>
      <c r="Q14" s="5">
        <f>SUM(E14:P14)</f>
        <v/>
      </c>
      <c r="R14" s="5">
        <f>D14-Q14</f>
        <v/>
      </c>
      <c r="S14" s="5">
        <f>MAX(0,R14*0.15)</f>
        <v/>
      </c>
      <c r="T14" s="5">
        <f>R14-S14</f>
        <v/>
      </c>
    </row>
    <row r="15">
      <c r="A15" t="n">
        <v>2</v>
      </c>
      <c r="B15" t="inlineStr">
        <is>
          <t>Enero</t>
        </is>
      </c>
      <c r="C15" s="5" t="n">
        <v>5357.88</v>
      </c>
      <c r="D15" s="5" t="n">
        <v>803.6799999999999</v>
      </c>
      <c r="E15" s="5" t="n">
        <v>80.37</v>
      </c>
      <c r="F15" s="5" t="n">
        <v>150</v>
      </c>
      <c r="G15" s="5" t="n">
        <v>0</v>
      </c>
      <c r="H15" s="5" t="n">
        <v>400</v>
      </c>
      <c r="I15" s="5" t="n">
        <v>220</v>
      </c>
      <c r="J15" s="5" t="n">
        <v>120</v>
      </c>
      <c r="K15" s="5" t="n">
        <v>30</v>
      </c>
      <c r="L15" s="5" t="n">
        <v>35</v>
      </c>
      <c r="M15" s="5" t="n">
        <v>40</v>
      </c>
      <c r="N15" s="5" t="n">
        <v>25</v>
      </c>
      <c r="O15" s="5" t="n">
        <v>500</v>
      </c>
      <c r="P15" s="5" t="n">
        <v>10</v>
      </c>
      <c r="Q15" s="5">
        <f>SUM(E15:P15)</f>
        <v/>
      </c>
      <c r="R15" s="5">
        <f>D15-Q15</f>
        <v/>
      </c>
      <c r="S15" s="5">
        <f>MAX(0,R15*0.15)</f>
        <v/>
      </c>
      <c r="T15" s="5">
        <f>R15-S15</f>
        <v/>
      </c>
    </row>
    <row r="16">
      <c r="A16" t="n">
        <v>2</v>
      </c>
      <c r="B16" t="inlineStr">
        <is>
          <t>Febrero</t>
        </is>
      </c>
      <c r="C16" s="5" t="n">
        <v>7497.53</v>
      </c>
      <c r="D16" s="5" t="n">
        <v>1124.63</v>
      </c>
      <c r="E16" s="5" t="n">
        <v>112.46</v>
      </c>
      <c r="F16" s="5" t="n">
        <v>150</v>
      </c>
      <c r="G16" s="5" t="n">
        <v>0</v>
      </c>
      <c r="H16" s="5" t="n">
        <v>400</v>
      </c>
      <c r="I16" s="5" t="n">
        <v>220</v>
      </c>
      <c r="J16" s="5" t="n">
        <v>120</v>
      </c>
      <c r="K16" s="5" t="n">
        <v>30</v>
      </c>
      <c r="L16" s="5" t="n">
        <v>35</v>
      </c>
      <c r="M16" s="5" t="n">
        <v>40</v>
      </c>
      <c r="N16" s="5" t="n">
        <v>25</v>
      </c>
      <c r="O16" s="5" t="n">
        <v>500</v>
      </c>
      <c r="P16" s="5" t="n">
        <v>10</v>
      </c>
      <c r="Q16" s="5">
        <f>SUM(E16:P16)</f>
        <v/>
      </c>
      <c r="R16" s="5">
        <f>D16-Q16</f>
        <v/>
      </c>
      <c r="S16" s="5">
        <f>MAX(0,R16*0.15)</f>
        <v/>
      </c>
      <c r="T16" s="5">
        <f>R16-S16</f>
        <v/>
      </c>
    </row>
    <row r="17">
      <c r="A17" t="n">
        <v>2</v>
      </c>
      <c r="B17" t="inlineStr">
        <is>
          <t>Marzo</t>
        </is>
      </c>
      <c r="C17" s="5" t="n">
        <v>11122.67</v>
      </c>
      <c r="D17" s="5" t="n">
        <v>1668.4</v>
      </c>
      <c r="E17" s="5" t="n">
        <v>166.84</v>
      </c>
      <c r="F17" s="5" t="n">
        <v>150</v>
      </c>
      <c r="G17" s="5" t="n">
        <v>0</v>
      </c>
      <c r="H17" s="5" t="n">
        <v>400</v>
      </c>
      <c r="I17" s="5" t="n">
        <v>220</v>
      </c>
      <c r="J17" s="5" t="n">
        <v>120</v>
      </c>
      <c r="K17" s="5" t="n">
        <v>30</v>
      </c>
      <c r="L17" s="5" t="n">
        <v>35</v>
      </c>
      <c r="M17" s="5" t="n">
        <v>40</v>
      </c>
      <c r="N17" s="5" t="n">
        <v>25</v>
      </c>
      <c r="O17" s="5" t="n">
        <v>500</v>
      </c>
      <c r="P17" s="5" t="n">
        <v>10</v>
      </c>
      <c r="Q17" s="5">
        <f>SUM(E17:P17)</f>
        <v/>
      </c>
      <c r="R17" s="5">
        <f>D17-Q17</f>
        <v/>
      </c>
      <c r="S17" s="5">
        <f>MAX(0,R17*0.15)</f>
        <v/>
      </c>
      <c r="T17" s="5">
        <f>R17-S17</f>
        <v/>
      </c>
    </row>
    <row r="18">
      <c r="A18" t="n">
        <v>2</v>
      </c>
      <c r="B18" t="inlineStr">
        <is>
          <t>Abril</t>
        </is>
      </c>
      <c r="C18" s="5" t="n">
        <v>7592.93</v>
      </c>
      <c r="D18" s="5" t="n">
        <v>1138.94</v>
      </c>
      <c r="E18" s="5" t="n">
        <v>113.89</v>
      </c>
      <c r="F18" s="5" t="n">
        <v>150</v>
      </c>
      <c r="G18" s="5" t="n">
        <v>0</v>
      </c>
      <c r="H18" s="5" t="n">
        <v>400</v>
      </c>
      <c r="I18" s="5" t="n">
        <v>220</v>
      </c>
      <c r="J18" s="5" t="n">
        <v>120</v>
      </c>
      <c r="K18" s="5" t="n">
        <v>30</v>
      </c>
      <c r="L18" s="5" t="n">
        <v>35</v>
      </c>
      <c r="M18" s="5" t="n">
        <v>40</v>
      </c>
      <c r="N18" s="5" t="n">
        <v>25</v>
      </c>
      <c r="O18" s="5" t="n">
        <v>500</v>
      </c>
      <c r="P18" s="5" t="n">
        <v>10</v>
      </c>
      <c r="Q18" s="5">
        <f>SUM(E18:P18)</f>
        <v/>
      </c>
      <c r="R18" s="5">
        <f>D18-Q18</f>
        <v/>
      </c>
      <c r="S18" s="5">
        <f>MAX(0,R18*0.15)</f>
        <v/>
      </c>
      <c r="T18" s="5">
        <f>R18-S18</f>
        <v/>
      </c>
    </row>
    <row r="19">
      <c r="A19" t="n">
        <v>2</v>
      </c>
      <c r="B19" t="inlineStr">
        <is>
          <t>Mayo</t>
        </is>
      </c>
      <c r="C19" s="5" t="n">
        <v>10783.91</v>
      </c>
      <c r="D19" s="5" t="n">
        <v>1617.59</v>
      </c>
      <c r="E19" s="5" t="n">
        <v>161.76</v>
      </c>
      <c r="F19" s="5" t="n">
        <v>150</v>
      </c>
      <c r="G19" s="5" t="n">
        <v>0</v>
      </c>
      <c r="H19" s="5" t="n">
        <v>400</v>
      </c>
      <c r="I19" s="5" t="n">
        <v>220</v>
      </c>
      <c r="J19" s="5" t="n">
        <v>120</v>
      </c>
      <c r="K19" s="5" t="n">
        <v>30</v>
      </c>
      <c r="L19" s="5" t="n">
        <v>35</v>
      </c>
      <c r="M19" s="5" t="n">
        <v>40</v>
      </c>
      <c r="N19" s="5" t="n">
        <v>25</v>
      </c>
      <c r="O19" s="5" t="n">
        <v>500</v>
      </c>
      <c r="P19" s="5" t="n">
        <v>10</v>
      </c>
      <c r="Q19" s="5">
        <f>SUM(E19:P19)</f>
        <v/>
      </c>
      <c r="R19" s="5">
        <f>D19-Q19</f>
        <v/>
      </c>
      <c r="S19" s="5">
        <f>MAX(0,R19*0.15)</f>
        <v/>
      </c>
      <c r="T19" s="5">
        <f>R19-S19</f>
        <v/>
      </c>
    </row>
    <row r="20">
      <c r="A20" t="n">
        <v>2</v>
      </c>
      <c r="B20" t="inlineStr">
        <is>
          <t>Junio</t>
        </is>
      </c>
      <c r="C20" s="5" t="n">
        <v>11564.62</v>
      </c>
      <c r="D20" s="5" t="n">
        <v>1734.69</v>
      </c>
      <c r="E20" s="5" t="n">
        <v>173.47</v>
      </c>
      <c r="F20" s="5" t="n">
        <v>150</v>
      </c>
      <c r="G20" s="5" t="n">
        <v>0</v>
      </c>
      <c r="H20" s="5" t="n">
        <v>400</v>
      </c>
      <c r="I20" s="5" t="n">
        <v>220</v>
      </c>
      <c r="J20" s="5" t="n">
        <v>120</v>
      </c>
      <c r="K20" s="5" t="n">
        <v>30</v>
      </c>
      <c r="L20" s="5" t="n">
        <v>35</v>
      </c>
      <c r="M20" s="5" t="n">
        <v>40</v>
      </c>
      <c r="N20" s="5" t="n">
        <v>25</v>
      </c>
      <c r="O20" s="5" t="n">
        <v>500</v>
      </c>
      <c r="P20" s="5" t="n">
        <v>10</v>
      </c>
      <c r="Q20" s="5">
        <f>SUM(E20:P20)</f>
        <v/>
      </c>
      <c r="R20" s="5">
        <f>D20-Q20</f>
        <v/>
      </c>
      <c r="S20" s="5">
        <f>MAX(0,R20*0.15)</f>
        <v/>
      </c>
      <c r="T20" s="5">
        <f>R20-S20</f>
        <v/>
      </c>
    </row>
    <row r="21">
      <c r="A21" t="n">
        <v>2</v>
      </c>
      <c r="B21" t="inlineStr">
        <is>
          <t>Julio</t>
        </is>
      </c>
      <c r="C21" s="5" t="n">
        <v>16315.06</v>
      </c>
      <c r="D21" s="5" t="n">
        <v>2447.26</v>
      </c>
      <c r="E21" s="5" t="n">
        <v>244.73</v>
      </c>
      <c r="F21" s="5" t="n">
        <v>150</v>
      </c>
      <c r="G21" s="5" t="n">
        <v>0</v>
      </c>
      <c r="H21" s="5" t="n">
        <v>400</v>
      </c>
      <c r="I21" s="5" t="n">
        <v>220</v>
      </c>
      <c r="J21" s="5" t="n">
        <v>120</v>
      </c>
      <c r="K21" s="5" t="n">
        <v>30</v>
      </c>
      <c r="L21" s="5" t="n">
        <v>35</v>
      </c>
      <c r="M21" s="5" t="n">
        <v>40</v>
      </c>
      <c r="N21" s="5" t="n">
        <v>25</v>
      </c>
      <c r="O21" s="5" t="n">
        <v>500</v>
      </c>
      <c r="P21" s="5" t="n">
        <v>10</v>
      </c>
      <c r="Q21" s="5">
        <f>SUM(E21:P21)</f>
        <v/>
      </c>
      <c r="R21" s="5">
        <f>D21-Q21</f>
        <v/>
      </c>
      <c r="S21" s="5">
        <f>MAX(0,R21*0.15)</f>
        <v/>
      </c>
      <c r="T21" s="5">
        <f>R21-S21</f>
        <v/>
      </c>
    </row>
    <row r="22">
      <c r="A22" t="n">
        <v>2</v>
      </c>
      <c r="B22" t="inlineStr">
        <is>
          <t>Agosto</t>
        </is>
      </c>
      <c r="C22" s="5" t="n">
        <v>23656.84</v>
      </c>
      <c r="D22" s="5" t="n">
        <v>3548.53</v>
      </c>
      <c r="E22" s="5" t="n">
        <v>354.85</v>
      </c>
      <c r="F22" s="5" t="n">
        <v>150</v>
      </c>
      <c r="G22" s="5" t="n">
        <v>0</v>
      </c>
      <c r="H22" s="5" t="n">
        <v>400</v>
      </c>
      <c r="I22" s="5" t="n">
        <v>220</v>
      </c>
      <c r="J22" s="5" t="n">
        <v>120</v>
      </c>
      <c r="K22" s="5" t="n">
        <v>30</v>
      </c>
      <c r="L22" s="5" t="n">
        <v>35</v>
      </c>
      <c r="M22" s="5" t="n">
        <v>40</v>
      </c>
      <c r="N22" s="5" t="n">
        <v>25</v>
      </c>
      <c r="O22" s="5" t="n">
        <v>500</v>
      </c>
      <c r="P22" s="5" t="n">
        <v>10</v>
      </c>
      <c r="Q22" s="5">
        <f>SUM(E22:P22)</f>
        <v/>
      </c>
      <c r="R22" s="5">
        <f>D22-Q22</f>
        <v/>
      </c>
      <c r="S22" s="5">
        <f>MAX(0,R22*0.15)</f>
        <v/>
      </c>
      <c r="T22" s="5">
        <f>R22-S22</f>
        <v/>
      </c>
    </row>
    <row r="23">
      <c r="A23" t="n">
        <v>2</v>
      </c>
      <c r="B23" t="inlineStr">
        <is>
          <t>Septiembre</t>
        </is>
      </c>
      <c r="C23" s="5" t="n">
        <v>11644.44</v>
      </c>
      <c r="D23" s="5" t="n">
        <v>1746.67</v>
      </c>
      <c r="E23" s="5" t="n">
        <v>174.67</v>
      </c>
      <c r="F23" s="5" t="n">
        <v>150</v>
      </c>
      <c r="G23" s="5" t="n">
        <v>0</v>
      </c>
      <c r="H23" s="5" t="n">
        <v>400</v>
      </c>
      <c r="I23" s="5" t="n">
        <v>220</v>
      </c>
      <c r="J23" s="5" t="n">
        <v>120</v>
      </c>
      <c r="K23" s="5" t="n">
        <v>30</v>
      </c>
      <c r="L23" s="5" t="n">
        <v>35</v>
      </c>
      <c r="M23" s="5" t="n">
        <v>40</v>
      </c>
      <c r="N23" s="5" t="n">
        <v>25</v>
      </c>
      <c r="O23" s="5" t="n">
        <v>500</v>
      </c>
      <c r="P23" s="5" t="n">
        <v>10</v>
      </c>
      <c r="Q23" s="5">
        <f>SUM(E23:P23)</f>
        <v/>
      </c>
      <c r="R23" s="5">
        <f>D23-Q23</f>
        <v/>
      </c>
      <c r="S23" s="5">
        <f>MAX(0,R23*0.15)</f>
        <v/>
      </c>
      <c r="T23" s="5">
        <f>R23-S23</f>
        <v/>
      </c>
    </row>
    <row r="24">
      <c r="A24" t="n">
        <v>2</v>
      </c>
      <c r="B24" t="inlineStr">
        <is>
          <t>Octubre</t>
        </is>
      </c>
      <c r="C24" s="5" t="n">
        <v>12913.82</v>
      </c>
      <c r="D24" s="5" t="n">
        <v>1937.07</v>
      </c>
      <c r="E24" s="5" t="n">
        <v>193.71</v>
      </c>
      <c r="F24" s="5" t="n">
        <v>150</v>
      </c>
      <c r="G24" s="5" t="n">
        <v>0</v>
      </c>
      <c r="H24" s="5" t="n">
        <v>400</v>
      </c>
      <c r="I24" s="5" t="n">
        <v>220</v>
      </c>
      <c r="J24" s="5" t="n">
        <v>120</v>
      </c>
      <c r="K24" s="5" t="n">
        <v>30</v>
      </c>
      <c r="L24" s="5" t="n">
        <v>35</v>
      </c>
      <c r="M24" s="5" t="n">
        <v>40</v>
      </c>
      <c r="N24" s="5" t="n">
        <v>25</v>
      </c>
      <c r="O24" s="5" t="n">
        <v>500</v>
      </c>
      <c r="P24" s="5" t="n">
        <v>10</v>
      </c>
      <c r="Q24" s="5">
        <f>SUM(E24:P24)</f>
        <v/>
      </c>
      <c r="R24" s="5">
        <f>D24-Q24</f>
        <v/>
      </c>
      <c r="S24" s="5">
        <f>MAX(0,R24*0.15)</f>
        <v/>
      </c>
      <c r="T24" s="5">
        <f>R24-S24</f>
        <v/>
      </c>
    </row>
    <row r="25">
      <c r="A25" t="n">
        <v>2</v>
      </c>
      <c r="B25" t="inlineStr">
        <is>
          <t>Noviembre</t>
        </is>
      </c>
      <c r="C25" s="5" t="n">
        <v>11157.71</v>
      </c>
      <c r="D25" s="5" t="n">
        <v>1673.66</v>
      </c>
      <c r="E25" s="5" t="n">
        <v>167.37</v>
      </c>
      <c r="F25" s="5" t="n">
        <v>150</v>
      </c>
      <c r="G25" s="5" t="n">
        <v>0</v>
      </c>
      <c r="H25" s="5" t="n">
        <v>400</v>
      </c>
      <c r="I25" s="5" t="n">
        <v>220</v>
      </c>
      <c r="J25" s="5" t="n">
        <v>120</v>
      </c>
      <c r="K25" s="5" t="n">
        <v>30</v>
      </c>
      <c r="L25" s="5" t="n">
        <v>35</v>
      </c>
      <c r="M25" s="5" t="n">
        <v>40</v>
      </c>
      <c r="N25" s="5" t="n">
        <v>25</v>
      </c>
      <c r="O25" s="5" t="n">
        <v>500</v>
      </c>
      <c r="P25" s="5" t="n">
        <v>10</v>
      </c>
      <c r="Q25" s="5">
        <f>SUM(E25:P25)</f>
        <v/>
      </c>
      <c r="R25" s="5">
        <f>D25-Q25</f>
        <v/>
      </c>
      <c r="S25" s="5">
        <f>MAX(0,R25*0.15)</f>
        <v/>
      </c>
      <c r="T25" s="5">
        <f>R25-S25</f>
        <v/>
      </c>
    </row>
    <row r="26">
      <c r="A26" t="n">
        <v>2</v>
      </c>
      <c r="B26" t="inlineStr">
        <is>
          <t>Diciembre</t>
        </is>
      </c>
      <c r="C26" s="5" t="n">
        <v>10392.58</v>
      </c>
      <c r="D26" s="5" t="n">
        <v>1558.89</v>
      </c>
      <c r="E26" s="5" t="n">
        <v>155.89</v>
      </c>
      <c r="F26" s="5" t="n">
        <v>150</v>
      </c>
      <c r="G26" s="5" t="n">
        <v>0</v>
      </c>
      <c r="H26" s="5" t="n">
        <v>400</v>
      </c>
      <c r="I26" s="5" t="n">
        <v>220</v>
      </c>
      <c r="J26" s="5" t="n">
        <v>120</v>
      </c>
      <c r="K26" s="5" t="n">
        <v>30</v>
      </c>
      <c r="L26" s="5" t="n">
        <v>35</v>
      </c>
      <c r="M26" s="5" t="n">
        <v>40</v>
      </c>
      <c r="N26" s="5" t="n">
        <v>25</v>
      </c>
      <c r="O26" s="5" t="n">
        <v>500</v>
      </c>
      <c r="P26" s="5" t="n">
        <v>10</v>
      </c>
      <c r="Q26" s="5">
        <f>SUM(E26:P26)</f>
        <v/>
      </c>
      <c r="R26" s="5">
        <f>D26-Q26</f>
        <v/>
      </c>
      <c r="S26" s="5">
        <f>MAX(0,R26*0.15)</f>
        <v/>
      </c>
      <c r="T26" s="5">
        <f>R26-S26</f>
        <v/>
      </c>
    </row>
    <row r="27">
      <c r="A27" t="n">
        <v>3</v>
      </c>
      <c r="B27" t="inlineStr">
        <is>
          <t>Enero</t>
        </is>
      </c>
      <c r="C27" s="5" t="n">
        <v>8419.530000000001</v>
      </c>
      <c r="D27" s="5" t="n">
        <v>1262.93</v>
      </c>
      <c r="E27" s="5" t="n">
        <v>126.29</v>
      </c>
      <c r="F27" s="5" t="n">
        <v>150</v>
      </c>
      <c r="G27" s="5" t="n">
        <v>0</v>
      </c>
      <c r="H27" s="5" t="n">
        <v>550</v>
      </c>
      <c r="I27" s="5" t="n">
        <v>250</v>
      </c>
      <c r="J27" s="5" t="n">
        <v>120</v>
      </c>
      <c r="K27" s="5" t="n">
        <v>30</v>
      </c>
      <c r="L27" s="5" t="n">
        <v>35</v>
      </c>
      <c r="M27" s="5" t="n">
        <v>40</v>
      </c>
      <c r="N27" s="5" t="n">
        <v>25</v>
      </c>
      <c r="O27" s="5" t="n">
        <v>500</v>
      </c>
      <c r="P27" s="5" t="n">
        <v>10</v>
      </c>
      <c r="Q27" s="5">
        <f>SUM(E27:P27)</f>
        <v/>
      </c>
      <c r="R27" s="5">
        <f>D27-Q27</f>
        <v/>
      </c>
      <c r="S27" s="5">
        <f>MAX(0,R27*0.15)</f>
        <v/>
      </c>
      <c r="T27" s="5">
        <f>R27-S27</f>
        <v/>
      </c>
    </row>
    <row r="28">
      <c r="A28" t="n">
        <v>3</v>
      </c>
      <c r="B28" t="inlineStr">
        <is>
          <t>Febrero</t>
        </is>
      </c>
      <c r="C28" s="5" t="n">
        <v>11781.84</v>
      </c>
      <c r="D28" s="5" t="n">
        <v>1767.28</v>
      </c>
      <c r="E28" s="5" t="n">
        <v>176.73</v>
      </c>
      <c r="F28" s="5" t="n">
        <v>150</v>
      </c>
      <c r="G28" s="5" t="n">
        <v>0</v>
      </c>
      <c r="H28" s="5" t="n">
        <v>550</v>
      </c>
      <c r="I28" s="5" t="n">
        <v>250</v>
      </c>
      <c r="J28" s="5" t="n">
        <v>120</v>
      </c>
      <c r="K28" s="5" t="n">
        <v>30</v>
      </c>
      <c r="L28" s="5" t="n">
        <v>35</v>
      </c>
      <c r="M28" s="5" t="n">
        <v>40</v>
      </c>
      <c r="N28" s="5" t="n">
        <v>25</v>
      </c>
      <c r="O28" s="5" t="n">
        <v>500</v>
      </c>
      <c r="P28" s="5" t="n">
        <v>10</v>
      </c>
      <c r="Q28" s="5">
        <f>SUM(E28:P28)</f>
        <v/>
      </c>
      <c r="R28" s="5">
        <f>D28-Q28</f>
        <v/>
      </c>
      <c r="S28" s="5">
        <f>MAX(0,R28*0.15)</f>
        <v/>
      </c>
      <c r="T28" s="5">
        <f>R28-S28</f>
        <v/>
      </c>
    </row>
    <row r="29">
      <c r="A29" t="n">
        <v>3</v>
      </c>
      <c r="B29" t="inlineStr">
        <is>
          <t>Marzo</t>
        </is>
      </c>
      <c r="C29" s="5" t="n">
        <v>17478.48</v>
      </c>
      <c r="D29" s="5" t="n">
        <v>2621.77</v>
      </c>
      <c r="E29" s="5" t="n">
        <v>262.18</v>
      </c>
      <c r="F29" s="5" t="n">
        <v>150</v>
      </c>
      <c r="G29" s="5" t="n">
        <v>0</v>
      </c>
      <c r="H29" s="5" t="n">
        <v>550</v>
      </c>
      <c r="I29" s="5" t="n">
        <v>250</v>
      </c>
      <c r="J29" s="5" t="n">
        <v>120</v>
      </c>
      <c r="K29" s="5" t="n">
        <v>30</v>
      </c>
      <c r="L29" s="5" t="n">
        <v>35</v>
      </c>
      <c r="M29" s="5" t="n">
        <v>40</v>
      </c>
      <c r="N29" s="5" t="n">
        <v>25</v>
      </c>
      <c r="O29" s="5" t="n">
        <v>500</v>
      </c>
      <c r="P29" s="5" t="n">
        <v>10</v>
      </c>
      <c r="Q29" s="5">
        <f>SUM(E29:P29)</f>
        <v/>
      </c>
      <c r="R29" s="5">
        <f>D29-Q29</f>
        <v/>
      </c>
      <c r="S29" s="5">
        <f>MAX(0,R29*0.15)</f>
        <v/>
      </c>
      <c r="T29" s="5">
        <f>R29-S29</f>
        <v/>
      </c>
    </row>
    <row r="30">
      <c r="A30" t="n">
        <v>3</v>
      </c>
      <c r="B30" t="inlineStr">
        <is>
          <t>Abril</t>
        </is>
      </c>
      <c r="C30" s="5" t="n">
        <v>11931.75</v>
      </c>
      <c r="D30" s="5" t="n">
        <v>1789.76</v>
      </c>
      <c r="E30" s="5" t="n">
        <v>178.98</v>
      </c>
      <c r="F30" s="5" t="n">
        <v>150</v>
      </c>
      <c r="G30" s="5" t="n">
        <v>0</v>
      </c>
      <c r="H30" s="5" t="n">
        <v>550</v>
      </c>
      <c r="I30" s="5" t="n">
        <v>250</v>
      </c>
      <c r="J30" s="5" t="n">
        <v>120</v>
      </c>
      <c r="K30" s="5" t="n">
        <v>30</v>
      </c>
      <c r="L30" s="5" t="n">
        <v>35</v>
      </c>
      <c r="M30" s="5" t="n">
        <v>40</v>
      </c>
      <c r="N30" s="5" t="n">
        <v>25</v>
      </c>
      <c r="O30" s="5" t="n">
        <v>500</v>
      </c>
      <c r="P30" s="5" t="n">
        <v>10</v>
      </c>
      <c r="Q30" s="5">
        <f>SUM(E30:P30)</f>
        <v/>
      </c>
      <c r="R30" s="5">
        <f>D30-Q30</f>
        <v/>
      </c>
      <c r="S30" s="5">
        <f>MAX(0,R30*0.15)</f>
        <v/>
      </c>
      <c r="T30" s="5">
        <f>R30-S30</f>
        <v/>
      </c>
    </row>
    <row r="31">
      <c r="A31" t="n">
        <v>3</v>
      </c>
      <c r="B31" t="inlineStr">
        <is>
          <t>Mayo</t>
        </is>
      </c>
      <c r="C31" s="5" t="n">
        <v>16946.14</v>
      </c>
      <c r="D31" s="5" t="n">
        <v>2541.92</v>
      </c>
      <c r="E31" s="5" t="n">
        <v>254.19</v>
      </c>
      <c r="F31" s="5" t="n">
        <v>150</v>
      </c>
      <c r="G31" s="5" t="n">
        <v>0</v>
      </c>
      <c r="H31" s="5" t="n">
        <v>550</v>
      </c>
      <c r="I31" s="5" t="n">
        <v>250</v>
      </c>
      <c r="J31" s="5" t="n">
        <v>120</v>
      </c>
      <c r="K31" s="5" t="n">
        <v>30</v>
      </c>
      <c r="L31" s="5" t="n">
        <v>35</v>
      </c>
      <c r="M31" s="5" t="n">
        <v>40</v>
      </c>
      <c r="N31" s="5" t="n">
        <v>25</v>
      </c>
      <c r="O31" s="5" t="n">
        <v>500</v>
      </c>
      <c r="P31" s="5" t="n">
        <v>10</v>
      </c>
      <c r="Q31" s="5">
        <f>SUM(E31:P31)</f>
        <v/>
      </c>
      <c r="R31" s="5">
        <f>D31-Q31</f>
        <v/>
      </c>
      <c r="S31" s="5">
        <f>MAX(0,R31*0.15)</f>
        <v/>
      </c>
      <c r="T31" s="5">
        <f>R31-S31</f>
        <v/>
      </c>
    </row>
    <row r="32">
      <c r="A32" t="n">
        <v>3</v>
      </c>
      <c r="B32" t="inlineStr">
        <is>
          <t>Junio</t>
        </is>
      </c>
      <c r="C32" s="5" t="n">
        <v>18172.97</v>
      </c>
      <c r="D32" s="5" t="n">
        <v>2725.95</v>
      </c>
      <c r="E32" s="5" t="n">
        <v>272.59</v>
      </c>
      <c r="F32" s="5" t="n">
        <v>150</v>
      </c>
      <c r="G32" s="5" t="n">
        <v>0</v>
      </c>
      <c r="H32" s="5" t="n">
        <v>550</v>
      </c>
      <c r="I32" s="5" t="n">
        <v>250</v>
      </c>
      <c r="J32" s="5" t="n">
        <v>120</v>
      </c>
      <c r="K32" s="5" t="n">
        <v>30</v>
      </c>
      <c r="L32" s="5" t="n">
        <v>35</v>
      </c>
      <c r="M32" s="5" t="n">
        <v>40</v>
      </c>
      <c r="N32" s="5" t="n">
        <v>25</v>
      </c>
      <c r="O32" s="5" t="n">
        <v>500</v>
      </c>
      <c r="P32" s="5" t="n">
        <v>10</v>
      </c>
      <c r="Q32" s="5">
        <f>SUM(E32:P32)</f>
        <v/>
      </c>
      <c r="R32" s="5">
        <f>D32-Q32</f>
        <v/>
      </c>
      <c r="S32" s="5">
        <f>MAX(0,R32*0.15)</f>
        <v/>
      </c>
      <c r="T32" s="5">
        <f>R32-S32</f>
        <v/>
      </c>
    </row>
    <row r="33">
      <c r="A33" t="n">
        <v>3</v>
      </c>
      <c r="B33" t="inlineStr">
        <is>
          <t>Julio</t>
        </is>
      </c>
      <c r="C33" s="5" t="n">
        <v>25637.96</v>
      </c>
      <c r="D33" s="5" t="n">
        <v>3845.69</v>
      </c>
      <c r="E33" s="5" t="n">
        <v>384.57</v>
      </c>
      <c r="F33" s="5" t="n">
        <v>150</v>
      </c>
      <c r="G33" s="5" t="n">
        <v>0</v>
      </c>
      <c r="H33" s="5" t="n">
        <v>550</v>
      </c>
      <c r="I33" s="5" t="n">
        <v>250</v>
      </c>
      <c r="J33" s="5" t="n">
        <v>120</v>
      </c>
      <c r="K33" s="5" t="n">
        <v>30</v>
      </c>
      <c r="L33" s="5" t="n">
        <v>35</v>
      </c>
      <c r="M33" s="5" t="n">
        <v>40</v>
      </c>
      <c r="N33" s="5" t="n">
        <v>25</v>
      </c>
      <c r="O33" s="5" t="n">
        <v>500</v>
      </c>
      <c r="P33" s="5" t="n">
        <v>10</v>
      </c>
      <c r="Q33" s="5">
        <f>SUM(E33:P33)</f>
        <v/>
      </c>
      <c r="R33" s="5">
        <f>D33-Q33</f>
        <v/>
      </c>
      <c r="S33" s="5">
        <f>MAX(0,R33*0.15)</f>
        <v/>
      </c>
      <c r="T33" s="5">
        <f>R33-S33</f>
        <v/>
      </c>
    </row>
    <row r="34">
      <c r="A34" t="n">
        <v>3</v>
      </c>
      <c r="B34" t="inlineStr">
        <is>
          <t>Agosto</t>
        </is>
      </c>
      <c r="C34" s="5" t="n">
        <v>37175.04</v>
      </c>
      <c r="D34" s="5" t="n">
        <v>5576.26</v>
      </c>
      <c r="E34" s="5" t="n">
        <v>557.63</v>
      </c>
      <c r="F34" s="5" t="n">
        <v>150</v>
      </c>
      <c r="G34" s="5" t="n">
        <v>0</v>
      </c>
      <c r="H34" s="5" t="n">
        <v>550</v>
      </c>
      <c r="I34" s="5" t="n">
        <v>250</v>
      </c>
      <c r="J34" s="5" t="n">
        <v>120</v>
      </c>
      <c r="K34" s="5" t="n">
        <v>30</v>
      </c>
      <c r="L34" s="5" t="n">
        <v>35</v>
      </c>
      <c r="M34" s="5" t="n">
        <v>40</v>
      </c>
      <c r="N34" s="5" t="n">
        <v>25</v>
      </c>
      <c r="O34" s="5" t="n">
        <v>500</v>
      </c>
      <c r="P34" s="5" t="n">
        <v>10</v>
      </c>
      <c r="Q34" s="5">
        <f>SUM(E34:P34)</f>
        <v/>
      </c>
      <c r="R34" s="5">
        <f>D34-Q34</f>
        <v/>
      </c>
      <c r="S34" s="5">
        <f>MAX(0,R34*0.15)</f>
        <v/>
      </c>
      <c r="T34" s="5">
        <f>R34-S34</f>
        <v/>
      </c>
    </row>
    <row r="35">
      <c r="A35" t="n">
        <v>3</v>
      </c>
      <c r="B35" t="inlineStr">
        <is>
          <t>Septiembre</t>
        </is>
      </c>
      <c r="C35" s="5" t="n">
        <v>18298.4</v>
      </c>
      <c r="D35" s="5" t="n">
        <v>2744.76</v>
      </c>
      <c r="E35" s="5" t="n">
        <v>274.48</v>
      </c>
      <c r="F35" s="5" t="n">
        <v>150</v>
      </c>
      <c r="G35" s="5" t="n">
        <v>0</v>
      </c>
      <c r="H35" s="5" t="n">
        <v>550</v>
      </c>
      <c r="I35" s="5" t="n">
        <v>250</v>
      </c>
      <c r="J35" s="5" t="n">
        <v>120</v>
      </c>
      <c r="K35" s="5" t="n">
        <v>30</v>
      </c>
      <c r="L35" s="5" t="n">
        <v>35</v>
      </c>
      <c r="M35" s="5" t="n">
        <v>40</v>
      </c>
      <c r="N35" s="5" t="n">
        <v>25</v>
      </c>
      <c r="O35" s="5" t="n">
        <v>500</v>
      </c>
      <c r="P35" s="5" t="n">
        <v>10</v>
      </c>
      <c r="Q35" s="5">
        <f>SUM(E35:P35)</f>
        <v/>
      </c>
      <c r="R35" s="5">
        <f>D35-Q35</f>
        <v/>
      </c>
      <c r="S35" s="5">
        <f>MAX(0,R35*0.15)</f>
        <v/>
      </c>
      <c r="T35" s="5">
        <f>R35-S35</f>
        <v/>
      </c>
    </row>
    <row r="36">
      <c r="A36" t="n">
        <v>3</v>
      </c>
      <c r="B36" t="inlineStr">
        <is>
          <t>Octubre</t>
        </is>
      </c>
      <c r="C36" s="5" t="n">
        <v>20293.15</v>
      </c>
      <c r="D36" s="5" t="n">
        <v>3043.97</v>
      </c>
      <c r="E36" s="5" t="n">
        <v>304.4</v>
      </c>
      <c r="F36" s="5" t="n">
        <v>150</v>
      </c>
      <c r="G36" s="5" t="n">
        <v>0</v>
      </c>
      <c r="H36" s="5" t="n">
        <v>550</v>
      </c>
      <c r="I36" s="5" t="n">
        <v>250</v>
      </c>
      <c r="J36" s="5" t="n">
        <v>120</v>
      </c>
      <c r="K36" s="5" t="n">
        <v>30</v>
      </c>
      <c r="L36" s="5" t="n">
        <v>35</v>
      </c>
      <c r="M36" s="5" t="n">
        <v>40</v>
      </c>
      <c r="N36" s="5" t="n">
        <v>25</v>
      </c>
      <c r="O36" s="5" t="n">
        <v>500</v>
      </c>
      <c r="P36" s="5" t="n">
        <v>10</v>
      </c>
      <c r="Q36" s="5">
        <f>SUM(E36:P36)</f>
        <v/>
      </c>
      <c r="R36" s="5">
        <f>D36-Q36</f>
        <v/>
      </c>
      <c r="S36" s="5">
        <f>MAX(0,R36*0.15)</f>
        <v/>
      </c>
      <c r="T36" s="5">
        <f>R36-S36</f>
        <v/>
      </c>
    </row>
    <row r="37">
      <c r="A37" t="n">
        <v>3</v>
      </c>
      <c r="B37" t="inlineStr">
        <is>
          <t>Noviembre</t>
        </is>
      </c>
      <c r="C37" s="5" t="n">
        <v>17533.55</v>
      </c>
      <c r="D37" s="5" t="n">
        <v>2630.03</v>
      </c>
      <c r="E37" s="5" t="n">
        <v>263</v>
      </c>
      <c r="F37" s="5" t="n">
        <v>150</v>
      </c>
      <c r="G37" s="5" t="n">
        <v>0</v>
      </c>
      <c r="H37" s="5" t="n">
        <v>550</v>
      </c>
      <c r="I37" s="5" t="n">
        <v>250</v>
      </c>
      <c r="J37" s="5" t="n">
        <v>120</v>
      </c>
      <c r="K37" s="5" t="n">
        <v>30</v>
      </c>
      <c r="L37" s="5" t="n">
        <v>35</v>
      </c>
      <c r="M37" s="5" t="n">
        <v>40</v>
      </c>
      <c r="N37" s="5" t="n">
        <v>25</v>
      </c>
      <c r="O37" s="5" t="n">
        <v>500</v>
      </c>
      <c r="P37" s="5" t="n">
        <v>10</v>
      </c>
      <c r="Q37" s="5">
        <f>SUM(E37:P37)</f>
        <v/>
      </c>
      <c r="R37" s="5">
        <f>D37-Q37</f>
        <v/>
      </c>
      <c r="S37" s="5">
        <f>MAX(0,R37*0.15)</f>
        <v/>
      </c>
      <c r="T37" s="5">
        <f>R37-S37</f>
        <v/>
      </c>
    </row>
    <row r="38">
      <c r="A38" t="n">
        <v>3</v>
      </c>
      <c r="B38" t="inlineStr">
        <is>
          <t>Diciembre</t>
        </is>
      </c>
      <c r="C38" s="5" t="n">
        <v>16331.2</v>
      </c>
      <c r="D38" s="5" t="n">
        <v>2449.68</v>
      </c>
      <c r="E38" s="5" t="n">
        <v>244.97</v>
      </c>
      <c r="F38" s="5" t="n">
        <v>150</v>
      </c>
      <c r="G38" s="5" t="n">
        <v>0</v>
      </c>
      <c r="H38" s="5" t="n">
        <v>550</v>
      </c>
      <c r="I38" s="5" t="n">
        <v>250</v>
      </c>
      <c r="J38" s="5" t="n">
        <v>120</v>
      </c>
      <c r="K38" s="5" t="n">
        <v>30</v>
      </c>
      <c r="L38" s="5" t="n">
        <v>35</v>
      </c>
      <c r="M38" s="5" t="n">
        <v>40</v>
      </c>
      <c r="N38" s="5" t="n">
        <v>25</v>
      </c>
      <c r="O38" s="5" t="n">
        <v>500</v>
      </c>
      <c r="P38" s="5" t="n">
        <v>10</v>
      </c>
      <c r="Q38" s="5">
        <f>SUM(E38:P38)</f>
        <v/>
      </c>
      <c r="R38" s="5">
        <f>D38-Q38</f>
        <v/>
      </c>
      <c r="S38" s="5">
        <f>MAX(0,R38*0.15)</f>
        <v/>
      </c>
      <c r="T38" s="5">
        <f>R38-S38</f>
        <v/>
      </c>
    </row>
    <row r="39">
      <c r="A39" t="n">
        <v>4</v>
      </c>
      <c r="B39" t="inlineStr">
        <is>
          <t>Enero</t>
        </is>
      </c>
      <c r="C39" s="5" t="n">
        <v>10715.77</v>
      </c>
      <c r="D39" s="5" t="n">
        <v>1607.37</v>
      </c>
      <c r="E39" s="5" t="n">
        <v>160.74</v>
      </c>
      <c r="F39" s="5" t="n">
        <v>150</v>
      </c>
      <c r="G39" s="5" t="n">
        <v>0</v>
      </c>
      <c r="H39" s="5" t="n">
        <v>550</v>
      </c>
      <c r="I39" s="5" t="n">
        <v>250</v>
      </c>
      <c r="J39" s="5" t="n">
        <v>120</v>
      </c>
      <c r="K39" s="5" t="n">
        <v>30</v>
      </c>
      <c r="L39" s="5" t="n">
        <v>35</v>
      </c>
      <c r="M39" s="5" t="n">
        <v>40</v>
      </c>
      <c r="N39" s="5" t="n">
        <v>25</v>
      </c>
      <c r="O39" s="5" t="n">
        <v>500</v>
      </c>
      <c r="P39" s="5" t="n">
        <v>10</v>
      </c>
      <c r="Q39" s="5">
        <f>SUM(E39:P39)</f>
        <v/>
      </c>
      <c r="R39" s="5">
        <f>D39-Q39</f>
        <v/>
      </c>
      <c r="S39" s="5">
        <f>MAX(0,R39*0.15)</f>
        <v/>
      </c>
      <c r="T39" s="5">
        <f>R39-S39</f>
        <v/>
      </c>
    </row>
    <row r="40">
      <c r="A40" t="n">
        <v>4</v>
      </c>
      <c r="B40" t="inlineStr">
        <is>
          <t>Febrero</t>
        </is>
      </c>
      <c r="C40" s="5" t="n">
        <v>14995.06</v>
      </c>
      <c r="D40" s="5" t="n">
        <v>2249.26</v>
      </c>
      <c r="E40" s="5" t="n">
        <v>224.93</v>
      </c>
      <c r="F40" s="5" t="n">
        <v>150</v>
      </c>
      <c r="G40" s="5" t="n">
        <v>0</v>
      </c>
      <c r="H40" s="5" t="n">
        <v>550</v>
      </c>
      <c r="I40" s="5" t="n">
        <v>250</v>
      </c>
      <c r="J40" s="5" t="n">
        <v>120</v>
      </c>
      <c r="K40" s="5" t="n">
        <v>30</v>
      </c>
      <c r="L40" s="5" t="n">
        <v>35</v>
      </c>
      <c r="M40" s="5" t="n">
        <v>40</v>
      </c>
      <c r="N40" s="5" t="n">
        <v>25</v>
      </c>
      <c r="O40" s="5" t="n">
        <v>500</v>
      </c>
      <c r="P40" s="5" t="n">
        <v>10</v>
      </c>
      <c r="Q40" s="5">
        <f>SUM(E40:P40)</f>
        <v/>
      </c>
      <c r="R40" s="5">
        <f>D40-Q40</f>
        <v/>
      </c>
      <c r="S40" s="5">
        <f>MAX(0,R40*0.15)</f>
        <v/>
      </c>
      <c r="T40" s="5">
        <f>R40-S40</f>
        <v/>
      </c>
    </row>
    <row r="41">
      <c r="A41" t="n">
        <v>4</v>
      </c>
      <c r="B41" t="inlineStr">
        <is>
          <t>Marzo</t>
        </is>
      </c>
      <c r="C41" s="5" t="n">
        <v>22245.34</v>
      </c>
      <c r="D41" s="5" t="n">
        <v>3336.8</v>
      </c>
      <c r="E41" s="5" t="n">
        <v>333.68</v>
      </c>
      <c r="F41" s="5" t="n">
        <v>150</v>
      </c>
      <c r="G41" s="5" t="n">
        <v>0</v>
      </c>
      <c r="H41" s="5" t="n">
        <v>550</v>
      </c>
      <c r="I41" s="5" t="n">
        <v>250</v>
      </c>
      <c r="J41" s="5" t="n">
        <v>120</v>
      </c>
      <c r="K41" s="5" t="n">
        <v>30</v>
      </c>
      <c r="L41" s="5" t="n">
        <v>35</v>
      </c>
      <c r="M41" s="5" t="n">
        <v>40</v>
      </c>
      <c r="N41" s="5" t="n">
        <v>25</v>
      </c>
      <c r="O41" s="5" t="n">
        <v>500</v>
      </c>
      <c r="P41" s="5" t="n">
        <v>10</v>
      </c>
      <c r="Q41" s="5">
        <f>SUM(E41:P41)</f>
        <v/>
      </c>
      <c r="R41" s="5">
        <f>D41-Q41</f>
        <v/>
      </c>
      <c r="S41" s="5">
        <f>MAX(0,R41*0.15)</f>
        <v/>
      </c>
      <c r="T41" s="5">
        <f>R41-S41</f>
        <v/>
      </c>
    </row>
    <row r="42">
      <c r="A42" t="n">
        <v>4</v>
      </c>
      <c r="B42" t="inlineStr">
        <is>
          <t>Abril</t>
        </is>
      </c>
      <c r="C42" s="5" t="n">
        <v>15185.86</v>
      </c>
      <c r="D42" s="5" t="n">
        <v>2277.88</v>
      </c>
      <c r="E42" s="5" t="n">
        <v>227.79</v>
      </c>
      <c r="F42" s="5" t="n">
        <v>150</v>
      </c>
      <c r="G42" s="5" t="n">
        <v>0</v>
      </c>
      <c r="H42" s="5" t="n">
        <v>550</v>
      </c>
      <c r="I42" s="5" t="n">
        <v>250</v>
      </c>
      <c r="J42" s="5" t="n">
        <v>120</v>
      </c>
      <c r="K42" s="5" t="n">
        <v>30</v>
      </c>
      <c r="L42" s="5" t="n">
        <v>35</v>
      </c>
      <c r="M42" s="5" t="n">
        <v>40</v>
      </c>
      <c r="N42" s="5" t="n">
        <v>25</v>
      </c>
      <c r="O42" s="5" t="n">
        <v>500</v>
      </c>
      <c r="P42" s="5" t="n">
        <v>10</v>
      </c>
      <c r="Q42" s="5">
        <f>SUM(E42:P42)</f>
        <v/>
      </c>
      <c r="R42" s="5">
        <f>D42-Q42</f>
        <v/>
      </c>
      <c r="S42" s="5">
        <f>MAX(0,R42*0.15)</f>
        <v/>
      </c>
      <c r="T42" s="5">
        <f>R42-S42</f>
        <v/>
      </c>
    </row>
    <row r="43">
      <c r="A43" t="n">
        <v>4</v>
      </c>
      <c r="B43" t="inlineStr">
        <is>
          <t>Mayo</t>
        </is>
      </c>
      <c r="C43" s="5" t="n">
        <v>21567.81</v>
      </c>
      <c r="D43" s="5" t="n">
        <v>3235.17</v>
      </c>
      <c r="E43" s="5" t="n">
        <v>323.52</v>
      </c>
      <c r="F43" s="5" t="n">
        <v>150</v>
      </c>
      <c r="G43" s="5" t="n">
        <v>0</v>
      </c>
      <c r="H43" s="5" t="n">
        <v>550</v>
      </c>
      <c r="I43" s="5" t="n">
        <v>250</v>
      </c>
      <c r="J43" s="5" t="n">
        <v>120</v>
      </c>
      <c r="K43" s="5" t="n">
        <v>30</v>
      </c>
      <c r="L43" s="5" t="n">
        <v>35</v>
      </c>
      <c r="M43" s="5" t="n">
        <v>40</v>
      </c>
      <c r="N43" s="5" t="n">
        <v>25</v>
      </c>
      <c r="O43" s="5" t="n">
        <v>500</v>
      </c>
      <c r="P43" s="5" t="n">
        <v>10</v>
      </c>
      <c r="Q43" s="5">
        <f>SUM(E43:P43)</f>
        <v/>
      </c>
      <c r="R43" s="5">
        <f>D43-Q43</f>
        <v/>
      </c>
      <c r="S43" s="5">
        <f>MAX(0,R43*0.15)</f>
        <v/>
      </c>
      <c r="T43" s="5">
        <f>R43-S43</f>
        <v/>
      </c>
    </row>
    <row r="44">
      <c r="A44" t="n">
        <v>4</v>
      </c>
      <c r="B44" t="inlineStr">
        <is>
          <t>Junio</t>
        </is>
      </c>
      <c r="C44" s="5" t="n">
        <v>23129.23</v>
      </c>
      <c r="D44" s="5" t="n">
        <v>3469.38</v>
      </c>
      <c r="E44" s="5" t="n">
        <v>346.94</v>
      </c>
      <c r="F44" s="5" t="n">
        <v>150</v>
      </c>
      <c r="G44" s="5" t="n">
        <v>0</v>
      </c>
      <c r="H44" s="5" t="n">
        <v>550</v>
      </c>
      <c r="I44" s="5" t="n">
        <v>250</v>
      </c>
      <c r="J44" s="5" t="n">
        <v>120</v>
      </c>
      <c r="K44" s="5" t="n">
        <v>30</v>
      </c>
      <c r="L44" s="5" t="n">
        <v>35</v>
      </c>
      <c r="M44" s="5" t="n">
        <v>40</v>
      </c>
      <c r="N44" s="5" t="n">
        <v>25</v>
      </c>
      <c r="O44" s="5" t="n">
        <v>500</v>
      </c>
      <c r="P44" s="5" t="n">
        <v>10</v>
      </c>
      <c r="Q44" s="5">
        <f>SUM(E44:P44)</f>
        <v/>
      </c>
      <c r="R44" s="5">
        <f>D44-Q44</f>
        <v/>
      </c>
      <c r="S44" s="5">
        <f>MAX(0,R44*0.15)</f>
        <v/>
      </c>
      <c r="T44" s="5">
        <f>R44-S44</f>
        <v/>
      </c>
    </row>
    <row r="45">
      <c r="A45" t="n">
        <v>4</v>
      </c>
      <c r="B45" t="inlineStr">
        <is>
          <t>Julio</t>
        </is>
      </c>
      <c r="C45" s="5" t="n">
        <v>32630.13</v>
      </c>
      <c r="D45" s="5" t="n">
        <v>4894.52</v>
      </c>
      <c r="E45" s="5" t="n">
        <v>489.45</v>
      </c>
      <c r="F45" s="5" t="n">
        <v>150</v>
      </c>
      <c r="G45" s="5" t="n">
        <v>0</v>
      </c>
      <c r="H45" s="5" t="n">
        <v>550</v>
      </c>
      <c r="I45" s="5" t="n">
        <v>250</v>
      </c>
      <c r="J45" s="5" t="n">
        <v>120</v>
      </c>
      <c r="K45" s="5" t="n">
        <v>30</v>
      </c>
      <c r="L45" s="5" t="n">
        <v>35</v>
      </c>
      <c r="M45" s="5" t="n">
        <v>40</v>
      </c>
      <c r="N45" s="5" t="n">
        <v>25</v>
      </c>
      <c r="O45" s="5" t="n">
        <v>500</v>
      </c>
      <c r="P45" s="5" t="n">
        <v>10</v>
      </c>
      <c r="Q45" s="5">
        <f>SUM(E45:P45)</f>
        <v/>
      </c>
      <c r="R45" s="5">
        <f>D45-Q45</f>
        <v/>
      </c>
      <c r="S45" s="5">
        <f>MAX(0,R45*0.15)</f>
        <v/>
      </c>
      <c r="T45" s="5">
        <f>R45-S45</f>
        <v/>
      </c>
    </row>
    <row r="46">
      <c r="A46" t="n">
        <v>4</v>
      </c>
      <c r="B46" t="inlineStr">
        <is>
          <t>Agosto</t>
        </is>
      </c>
      <c r="C46" s="5" t="n">
        <v>47313.69</v>
      </c>
      <c r="D46" s="5" t="n">
        <v>7097.05</v>
      </c>
      <c r="E46" s="5" t="n">
        <v>709.71</v>
      </c>
      <c r="F46" s="5" t="n">
        <v>150</v>
      </c>
      <c r="G46" s="5" t="n">
        <v>0</v>
      </c>
      <c r="H46" s="5" t="n">
        <v>550</v>
      </c>
      <c r="I46" s="5" t="n">
        <v>250</v>
      </c>
      <c r="J46" s="5" t="n">
        <v>120</v>
      </c>
      <c r="K46" s="5" t="n">
        <v>30</v>
      </c>
      <c r="L46" s="5" t="n">
        <v>35</v>
      </c>
      <c r="M46" s="5" t="n">
        <v>40</v>
      </c>
      <c r="N46" s="5" t="n">
        <v>25</v>
      </c>
      <c r="O46" s="5" t="n">
        <v>500</v>
      </c>
      <c r="P46" s="5" t="n">
        <v>10</v>
      </c>
      <c r="Q46" s="5">
        <f>SUM(E46:P46)</f>
        <v/>
      </c>
      <c r="R46" s="5">
        <f>D46-Q46</f>
        <v/>
      </c>
      <c r="S46" s="5">
        <f>MAX(0,R46*0.15)</f>
        <v/>
      </c>
      <c r="T46" s="5">
        <f>R46-S46</f>
        <v/>
      </c>
    </row>
    <row r="47">
      <c r="A47" t="n">
        <v>4</v>
      </c>
      <c r="B47" t="inlineStr">
        <is>
          <t>Septiembre</t>
        </is>
      </c>
      <c r="C47" s="5" t="n">
        <v>23288.88</v>
      </c>
      <c r="D47" s="5" t="n">
        <v>3493.33</v>
      </c>
      <c r="E47" s="5" t="n">
        <v>349.33</v>
      </c>
      <c r="F47" s="5" t="n">
        <v>150</v>
      </c>
      <c r="G47" s="5" t="n">
        <v>0</v>
      </c>
      <c r="H47" s="5" t="n">
        <v>550</v>
      </c>
      <c r="I47" s="5" t="n">
        <v>250</v>
      </c>
      <c r="J47" s="5" t="n">
        <v>120</v>
      </c>
      <c r="K47" s="5" t="n">
        <v>30</v>
      </c>
      <c r="L47" s="5" t="n">
        <v>35</v>
      </c>
      <c r="M47" s="5" t="n">
        <v>40</v>
      </c>
      <c r="N47" s="5" t="n">
        <v>25</v>
      </c>
      <c r="O47" s="5" t="n">
        <v>500</v>
      </c>
      <c r="P47" s="5" t="n">
        <v>10</v>
      </c>
      <c r="Q47" s="5">
        <f>SUM(E47:P47)</f>
        <v/>
      </c>
      <c r="R47" s="5">
        <f>D47-Q47</f>
        <v/>
      </c>
      <c r="S47" s="5">
        <f>MAX(0,R47*0.15)</f>
        <v/>
      </c>
      <c r="T47" s="5">
        <f>R47-S47</f>
        <v/>
      </c>
    </row>
    <row r="48">
      <c r="A48" t="n">
        <v>4</v>
      </c>
      <c r="B48" t="inlineStr">
        <is>
          <t>Octubre</t>
        </is>
      </c>
      <c r="C48" s="5" t="n">
        <v>25827.64</v>
      </c>
      <c r="D48" s="5" t="n">
        <v>3874.15</v>
      </c>
      <c r="E48" s="5" t="n">
        <v>387.41</v>
      </c>
      <c r="F48" s="5" t="n">
        <v>150</v>
      </c>
      <c r="G48" s="5" t="n">
        <v>0</v>
      </c>
      <c r="H48" s="5" t="n">
        <v>550</v>
      </c>
      <c r="I48" s="5" t="n">
        <v>250</v>
      </c>
      <c r="J48" s="5" t="n">
        <v>120</v>
      </c>
      <c r="K48" s="5" t="n">
        <v>30</v>
      </c>
      <c r="L48" s="5" t="n">
        <v>35</v>
      </c>
      <c r="M48" s="5" t="n">
        <v>40</v>
      </c>
      <c r="N48" s="5" t="n">
        <v>25</v>
      </c>
      <c r="O48" s="5" t="n">
        <v>500</v>
      </c>
      <c r="P48" s="5" t="n">
        <v>10</v>
      </c>
      <c r="Q48" s="5">
        <f>SUM(E48:P48)</f>
        <v/>
      </c>
      <c r="R48" s="5">
        <f>D48-Q48</f>
        <v/>
      </c>
      <c r="S48" s="5">
        <f>MAX(0,R48*0.15)</f>
        <v/>
      </c>
      <c r="T48" s="5">
        <f>R48-S48</f>
        <v/>
      </c>
    </row>
    <row r="49">
      <c r="A49" t="n">
        <v>4</v>
      </c>
      <c r="B49" t="inlineStr">
        <is>
          <t>Noviembre</t>
        </is>
      </c>
      <c r="C49" s="5" t="n">
        <v>22315.43</v>
      </c>
      <c r="D49" s="5" t="n">
        <v>3347.31</v>
      </c>
      <c r="E49" s="5" t="n">
        <v>334.73</v>
      </c>
      <c r="F49" s="5" t="n">
        <v>150</v>
      </c>
      <c r="G49" s="5" t="n">
        <v>0</v>
      </c>
      <c r="H49" s="5" t="n">
        <v>550</v>
      </c>
      <c r="I49" s="5" t="n">
        <v>250</v>
      </c>
      <c r="J49" s="5" t="n">
        <v>120</v>
      </c>
      <c r="K49" s="5" t="n">
        <v>30</v>
      </c>
      <c r="L49" s="5" t="n">
        <v>35</v>
      </c>
      <c r="M49" s="5" t="n">
        <v>40</v>
      </c>
      <c r="N49" s="5" t="n">
        <v>25</v>
      </c>
      <c r="O49" s="5" t="n">
        <v>500</v>
      </c>
      <c r="P49" s="5" t="n">
        <v>10</v>
      </c>
      <c r="Q49" s="5">
        <f>SUM(E49:P49)</f>
        <v/>
      </c>
      <c r="R49" s="5">
        <f>D49-Q49</f>
        <v/>
      </c>
      <c r="S49" s="5">
        <f>MAX(0,R49*0.15)</f>
        <v/>
      </c>
      <c r="T49" s="5">
        <f>R49-S49</f>
        <v/>
      </c>
    </row>
    <row r="50">
      <c r="A50" t="n">
        <v>4</v>
      </c>
      <c r="B50" t="inlineStr">
        <is>
          <t>Diciembre</t>
        </is>
      </c>
      <c r="C50" s="5" t="n">
        <v>20785.16</v>
      </c>
      <c r="D50" s="5" t="n">
        <v>3117.77</v>
      </c>
      <c r="E50" s="5" t="n">
        <v>311.78</v>
      </c>
      <c r="F50" s="5" t="n">
        <v>150</v>
      </c>
      <c r="G50" s="5" t="n">
        <v>0</v>
      </c>
      <c r="H50" s="5" t="n">
        <v>550</v>
      </c>
      <c r="I50" s="5" t="n">
        <v>250</v>
      </c>
      <c r="J50" s="5" t="n">
        <v>120</v>
      </c>
      <c r="K50" s="5" t="n">
        <v>30</v>
      </c>
      <c r="L50" s="5" t="n">
        <v>35</v>
      </c>
      <c r="M50" s="5" t="n">
        <v>40</v>
      </c>
      <c r="N50" s="5" t="n">
        <v>25</v>
      </c>
      <c r="O50" s="5" t="n">
        <v>500</v>
      </c>
      <c r="P50" s="5" t="n">
        <v>10</v>
      </c>
      <c r="Q50" s="5">
        <f>SUM(E50:P50)</f>
        <v/>
      </c>
      <c r="R50" s="5">
        <f>D50-Q50</f>
        <v/>
      </c>
      <c r="S50" s="5">
        <f>MAX(0,R50*0.15)</f>
        <v/>
      </c>
      <c r="T50" s="5">
        <f>R50-S50</f>
        <v/>
      </c>
    </row>
    <row r="51">
      <c r="A51" t="n">
        <v>5</v>
      </c>
      <c r="B51" t="inlineStr">
        <is>
          <t>Enero</t>
        </is>
      </c>
      <c r="C51" s="5" t="n">
        <v>13777.41</v>
      </c>
      <c r="D51" s="5" t="n">
        <v>2066.61</v>
      </c>
      <c r="E51" s="5" t="n">
        <v>206.66</v>
      </c>
      <c r="F51" s="5" t="n">
        <v>150</v>
      </c>
      <c r="G51" s="5" t="n">
        <v>0</v>
      </c>
      <c r="H51" s="5" t="n">
        <v>550</v>
      </c>
      <c r="I51" s="5" t="n">
        <v>250</v>
      </c>
      <c r="J51" s="5" t="n">
        <v>120</v>
      </c>
      <c r="K51" s="5" t="n">
        <v>30</v>
      </c>
      <c r="L51" s="5" t="n">
        <v>35</v>
      </c>
      <c r="M51" s="5" t="n">
        <v>40</v>
      </c>
      <c r="N51" s="5" t="n">
        <v>25</v>
      </c>
      <c r="O51" s="5" t="n">
        <v>500</v>
      </c>
      <c r="P51" s="5" t="n">
        <v>10</v>
      </c>
      <c r="Q51" s="5">
        <f>SUM(E51:P51)</f>
        <v/>
      </c>
      <c r="R51" s="5">
        <f>D51-Q51</f>
        <v/>
      </c>
      <c r="S51" s="5">
        <f>MAX(0,R51*0.15)</f>
        <v/>
      </c>
      <c r="T51" s="5">
        <f>R51-S51</f>
        <v/>
      </c>
    </row>
    <row r="52">
      <c r="A52" t="n">
        <v>5</v>
      </c>
      <c r="B52" t="inlineStr">
        <is>
          <t>Febrero</t>
        </is>
      </c>
      <c r="C52" s="5" t="n">
        <v>19279.37</v>
      </c>
      <c r="D52" s="5" t="n">
        <v>2891.91</v>
      </c>
      <c r="E52" s="5" t="n">
        <v>289.19</v>
      </c>
      <c r="F52" s="5" t="n">
        <v>150</v>
      </c>
      <c r="G52" s="5" t="n">
        <v>0</v>
      </c>
      <c r="H52" s="5" t="n">
        <v>550</v>
      </c>
      <c r="I52" s="5" t="n">
        <v>250</v>
      </c>
      <c r="J52" s="5" t="n">
        <v>120</v>
      </c>
      <c r="K52" s="5" t="n">
        <v>30</v>
      </c>
      <c r="L52" s="5" t="n">
        <v>35</v>
      </c>
      <c r="M52" s="5" t="n">
        <v>40</v>
      </c>
      <c r="N52" s="5" t="n">
        <v>25</v>
      </c>
      <c r="O52" s="5" t="n">
        <v>500</v>
      </c>
      <c r="P52" s="5" t="n">
        <v>10</v>
      </c>
      <c r="Q52" s="5">
        <f>SUM(E52:P52)</f>
        <v/>
      </c>
      <c r="R52" s="5">
        <f>D52-Q52</f>
        <v/>
      </c>
      <c r="S52" s="5">
        <f>MAX(0,R52*0.15)</f>
        <v/>
      </c>
      <c r="T52" s="5">
        <f>R52-S52</f>
        <v/>
      </c>
    </row>
    <row r="53">
      <c r="A53" t="n">
        <v>5</v>
      </c>
      <c r="B53" t="inlineStr">
        <is>
          <t>Marzo</t>
        </is>
      </c>
      <c r="C53" s="5" t="n">
        <v>28601.15</v>
      </c>
      <c r="D53" s="5" t="n">
        <v>4290.17</v>
      </c>
      <c r="E53" s="5" t="n">
        <v>429.02</v>
      </c>
      <c r="F53" s="5" t="n">
        <v>150</v>
      </c>
      <c r="G53" s="5" t="n">
        <v>0</v>
      </c>
      <c r="H53" s="5" t="n">
        <v>550</v>
      </c>
      <c r="I53" s="5" t="n">
        <v>250</v>
      </c>
      <c r="J53" s="5" t="n">
        <v>120</v>
      </c>
      <c r="K53" s="5" t="n">
        <v>30</v>
      </c>
      <c r="L53" s="5" t="n">
        <v>35</v>
      </c>
      <c r="M53" s="5" t="n">
        <v>40</v>
      </c>
      <c r="N53" s="5" t="n">
        <v>25</v>
      </c>
      <c r="O53" s="5" t="n">
        <v>500</v>
      </c>
      <c r="P53" s="5" t="n">
        <v>10</v>
      </c>
      <c r="Q53" s="5">
        <f>SUM(E53:P53)</f>
        <v/>
      </c>
      <c r="R53" s="5">
        <f>D53-Q53</f>
        <v/>
      </c>
      <c r="S53" s="5">
        <f>MAX(0,R53*0.15)</f>
        <v/>
      </c>
      <c r="T53" s="5">
        <f>R53-S53</f>
        <v/>
      </c>
    </row>
    <row r="54">
      <c r="A54" t="n">
        <v>5</v>
      </c>
      <c r="B54" t="inlineStr">
        <is>
          <t>Abril</t>
        </is>
      </c>
      <c r="C54" s="5" t="n">
        <v>19524.68</v>
      </c>
      <c r="D54" s="5" t="n">
        <v>2928.7</v>
      </c>
      <c r="E54" s="5" t="n">
        <v>292.87</v>
      </c>
      <c r="F54" s="5" t="n">
        <v>150</v>
      </c>
      <c r="G54" s="5" t="n">
        <v>0</v>
      </c>
      <c r="H54" s="5" t="n">
        <v>550</v>
      </c>
      <c r="I54" s="5" t="n">
        <v>250</v>
      </c>
      <c r="J54" s="5" t="n">
        <v>120</v>
      </c>
      <c r="K54" s="5" t="n">
        <v>30</v>
      </c>
      <c r="L54" s="5" t="n">
        <v>35</v>
      </c>
      <c r="M54" s="5" t="n">
        <v>40</v>
      </c>
      <c r="N54" s="5" t="n">
        <v>25</v>
      </c>
      <c r="O54" s="5" t="n">
        <v>500</v>
      </c>
      <c r="P54" s="5" t="n">
        <v>10</v>
      </c>
      <c r="Q54" s="5">
        <f>SUM(E54:P54)</f>
        <v/>
      </c>
      <c r="R54" s="5">
        <f>D54-Q54</f>
        <v/>
      </c>
      <c r="S54" s="5">
        <f>MAX(0,R54*0.15)</f>
        <v/>
      </c>
      <c r="T54" s="5">
        <f>R54-S54</f>
        <v/>
      </c>
    </row>
    <row r="55">
      <c r="A55" t="n">
        <v>5</v>
      </c>
      <c r="B55" t="inlineStr">
        <is>
          <t>Mayo</t>
        </is>
      </c>
      <c r="C55" s="5" t="n">
        <v>27730.05</v>
      </c>
      <c r="D55" s="5" t="n">
        <v>4159.51</v>
      </c>
      <c r="E55" s="5" t="n">
        <v>415.95</v>
      </c>
      <c r="F55" s="5" t="n">
        <v>150</v>
      </c>
      <c r="G55" s="5" t="n">
        <v>0</v>
      </c>
      <c r="H55" s="5" t="n">
        <v>550</v>
      </c>
      <c r="I55" s="5" t="n">
        <v>250</v>
      </c>
      <c r="J55" s="5" t="n">
        <v>120</v>
      </c>
      <c r="K55" s="5" t="n">
        <v>30</v>
      </c>
      <c r="L55" s="5" t="n">
        <v>35</v>
      </c>
      <c r="M55" s="5" t="n">
        <v>40</v>
      </c>
      <c r="N55" s="5" t="n">
        <v>25</v>
      </c>
      <c r="O55" s="5" t="n">
        <v>500</v>
      </c>
      <c r="P55" s="5" t="n">
        <v>10</v>
      </c>
      <c r="Q55" s="5">
        <f>SUM(E55:P55)</f>
        <v/>
      </c>
      <c r="R55" s="5">
        <f>D55-Q55</f>
        <v/>
      </c>
      <c r="S55" s="5">
        <f>MAX(0,R55*0.15)</f>
        <v/>
      </c>
      <c r="T55" s="5">
        <f>R55-S55</f>
        <v/>
      </c>
    </row>
    <row r="56">
      <c r="A56" t="n">
        <v>5</v>
      </c>
      <c r="B56" t="inlineStr">
        <is>
          <t>Junio</t>
        </is>
      </c>
      <c r="C56" s="5" t="n">
        <v>29737.59</v>
      </c>
      <c r="D56" s="5" t="n">
        <v>4460.64</v>
      </c>
      <c r="E56" s="5" t="n">
        <v>446.06</v>
      </c>
      <c r="F56" s="5" t="n">
        <v>150</v>
      </c>
      <c r="G56" s="5" t="n">
        <v>0</v>
      </c>
      <c r="H56" s="5" t="n">
        <v>550</v>
      </c>
      <c r="I56" s="5" t="n">
        <v>250</v>
      </c>
      <c r="J56" s="5" t="n">
        <v>120</v>
      </c>
      <c r="K56" s="5" t="n">
        <v>30</v>
      </c>
      <c r="L56" s="5" t="n">
        <v>35</v>
      </c>
      <c r="M56" s="5" t="n">
        <v>40</v>
      </c>
      <c r="N56" s="5" t="n">
        <v>25</v>
      </c>
      <c r="O56" s="5" t="n">
        <v>500</v>
      </c>
      <c r="P56" s="5" t="n">
        <v>10</v>
      </c>
      <c r="Q56" s="5">
        <f>SUM(E56:P56)</f>
        <v/>
      </c>
      <c r="R56" s="5">
        <f>D56-Q56</f>
        <v/>
      </c>
      <c r="S56" s="5">
        <f>MAX(0,R56*0.15)</f>
        <v/>
      </c>
      <c r="T56" s="5">
        <f>R56-S56</f>
        <v/>
      </c>
    </row>
    <row r="57">
      <c r="A57" t="n">
        <v>5</v>
      </c>
      <c r="B57" t="inlineStr">
        <is>
          <t>Julio</t>
        </is>
      </c>
      <c r="C57" s="5" t="n">
        <v>41953.02</v>
      </c>
      <c r="D57" s="5" t="n">
        <v>6292.95</v>
      </c>
      <c r="E57" s="5" t="n">
        <v>629.3</v>
      </c>
      <c r="F57" s="5" t="n">
        <v>150</v>
      </c>
      <c r="G57" s="5" t="n">
        <v>0</v>
      </c>
      <c r="H57" s="5" t="n">
        <v>550</v>
      </c>
      <c r="I57" s="5" t="n">
        <v>250</v>
      </c>
      <c r="J57" s="5" t="n">
        <v>120</v>
      </c>
      <c r="K57" s="5" t="n">
        <v>30</v>
      </c>
      <c r="L57" s="5" t="n">
        <v>35</v>
      </c>
      <c r="M57" s="5" t="n">
        <v>40</v>
      </c>
      <c r="N57" s="5" t="n">
        <v>25</v>
      </c>
      <c r="O57" s="5" t="n">
        <v>500</v>
      </c>
      <c r="P57" s="5" t="n">
        <v>10</v>
      </c>
      <c r="Q57" s="5">
        <f>SUM(E57:P57)</f>
        <v/>
      </c>
      <c r="R57" s="5">
        <f>D57-Q57</f>
        <v/>
      </c>
      <c r="S57" s="5">
        <f>MAX(0,R57*0.15)</f>
        <v/>
      </c>
      <c r="T57" s="5">
        <f>R57-S57</f>
        <v/>
      </c>
    </row>
    <row r="58">
      <c r="A58" t="n">
        <v>5</v>
      </c>
      <c r="B58" t="inlineStr">
        <is>
          <t>Agosto</t>
        </is>
      </c>
      <c r="C58" s="5" t="n">
        <v>60831.88</v>
      </c>
      <c r="D58" s="5" t="n">
        <v>9124.780000000001</v>
      </c>
      <c r="E58" s="5" t="n">
        <v>912.48</v>
      </c>
      <c r="F58" s="5" t="n">
        <v>150</v>
      </c>
      <c r="G58" s="5" t="n">
        <v>0</v>
      </c>
      <c r="H58" s="5" t="n">
        <v>550</v>
      </c>
      <c r="I58" s="5" t="n">
        <v>250</v>
      </c>
      <c r="J58" s="5" t="n">
        <v>120</v>
      </c>
      <c r="K58" s="5" t="n">
        <v>30</v>
      </c>
      <c r="L58" s="5" t="n">
        <v>35</v>
      </c>
      <c r="M58" s="5" t="n">
        <v>40</v>
      </c>
      <c r="N58" s="5" t="n">
        <v>25</v>
      </c>
      <c r="O58" s="5" t="n">
        <v>500</v>
      </c>
      <c r="P58" s="5" t="n">
        <v>10</v>
      </c>
      <c r="Q58" s="5">
        <f>SUM(E58:P58)</f>
        <v/>
      </c>
      <c r="R58" s="5">
        <f>D58-Q58</f>
        <v/>
      </c>
      <c r="S58" s="5">
        <f>MAX(0,R58*0.15)</f>
        <v/>
      </c>
      <c r="T58" s="5">
        <f>R58-S58</f>
        <v/>
      </c>
    </row>
    <row r="59">
      <c r="A59" t="n">
        <v>5</v>
      </c>
      <c r="B59" t="inlineStr">
        <is>
          <t>Septiembre</t>
        </is>
      </c>
      <c r="C59" s="5" t="n">
        <v>29942.84</v>
      </c>
      <c r="D59" s="5" t="n">
        <v>4491.43</v>
      </c>
      <c r="E59" s="5" t="n">
        <v>449.14</v>
      </c>
      <c r="F59" s="5" t="n">
        <v>150</v>
      </c>
      <c r="G59" s="5" t="n">
        <v>0</v>
      </c>
      <c r="H59" s="5" t="n">
        <v>550</v>
      </c>
      <c r="I59" s="5" t="n">
        <v>250</v>
      </c>
      <c r="J59" s="5" t="n">
        <v>120</v>
      </c>
      <c r="K59" s="5" t="n">
        <v>30</v>
      </c>
      <c r="L59" s="5" t="n">
        <v>35</v>
      </c>
      <c r="M59" s="5" t="n">
        <v>40</v>
      </c>
      <c r="N59" s="5" t="n">
        <v>25</v>
      </c>
      <c r="O59" s="5" t="n">
        <v>500</v>
      </c>
      <c r="P59" s="5" t="n">
        <v>10</v>
      </c>
      <c r="Q59" s="5">
        <f>SUM(E59:P59)</f>
        <v/>
      </c>
      <c r="R59" s="5">
        <f>D59-Q59</f>
        <v/>
      </c>
      <c r="S59" s="5">
        <f>MAX(0,R59*0.15)</f>
        <v/>
      </c>
      <c r="T59" s="5">
        <f>R59-S59</f>
        <v/>
      </c>
    </row>
    <row r="60">
      <c r="A60" t="n">
        <v>5</v>
      </c>
      <c r="B60" t="inlineStr">
        <is>
          <t>Octubre</t>
        </is>
      </c>
      <c r="C60" s="5" t="n">
        <v>33206.97</v>
      </c>
      <c r="D60" s="5" t="n">
        <v>4981.05</v>
      </c>
      <c r="E60" s="5" t="n">
        <v>498.1</v>
      </c>
      <c r="F60" s="5" t="n">
        <v>150</v>
      </c>
      <c r="G60" s="5" t="n">
        <v>0</v>
      </c>
      <c r="H60" s="5" t="n">
        <v>550</v>
      </c>
      <c r="I60" s="5" t="n">
        <v>250</v>
      </c>
      <c r="J60" s="5" t="n">
        <v>120</v>
      </c>
      <c r="K60" s="5" t="n">
        <v>30</v>
      </c>
      <c r="L60" s="5" t="n">
        <v>35</v>
      </c>
      <c r="M60" s="5" t="n">
        <v>40</v>
      </c>
      <c r="N60" s="5" t="n">
        <v>25</v>
      </c>
      <c r="O60" s="5" t="n">
        <v>500</v>
      </c>
      <c r="P60" s="5" t="n">
        <v>10</v>
      </c>
      <c r="Q60" s="5">
        <f>SUM(E60:P60)</f>
        <v/>
      </c>
      <c r="R60" s="5">
        <f>D60-Q60</f>
        <v/>
      </c>
      <c r="S60" s="5">
        <f>MAX(0,R60*0.15)</f>
        <v/>
      </c>
      <c r="T60" s="5">
        <f>R60-S60</f>
        <v/>
      </c>
    </row>
    <row r="61">
      <c r="A61" t="n">
        <v>5</v>
      </c>
      <c r="B61" t="inlineStr">
        <is>
          <t>Noviembre</t>
        </is>
      </c>
      <c r="C61" s="5" t="n">
        <v>28691.26</v>
      </c>
      <c r="D61" s="5" t="n">
        <v>4303.69</v>
      </c>
      <c r="E61" s="5" t="n">
        <v>430.37</v>
      </c>
      <c r="F61" s="5" t="n">
        <v>150</v>
      </c>
      <c r="G61" s="5" t="n">
        <v>0</v>
      </c>
      <c r="H61" s="5" t="n">
        <v>550</v>
      </c>
      <c r="I61" s="5" t="n">
        <v>250</v>
      </c>
      <c r="J61" s="5" t="n">
        <v>120</v>
      </c>
      <c r="K61" s="5" t="n">
        <v>30</v>
      </c>
      <c r="L61" s="5" t="n">
        <v>35</v>
      </c>
      <c r="M61" s="5" t="n">
        <v>40</v>
      </c>
      <c r="N61" s="5" t="n">
        <v>25</v>
      </c>
      <c r="O61" s="5" t="n">
        <v>500</v>
      </c>
      <c r="P61" s="5" t="n">
        <v>10</v>
      </c>
      <c r="Q61" s="5">
        <f>SUM(E61:P61)</f>
        <v/>
      </c>
      <c r="R61" s="5">
        <f>D61-Q61</f>
        <v/>
      </c>
      <c r="S61" s="5">
        <f>MAX(0,R61*0.15)</f>
        <v/>
      </c>
      <c r="T61" s="5">
        <f>R61-S61</f>
        <v/>
      </c>
    </row>
    <row r="62">
      <c r="A62" t="n">
        <v>5</v>
      </c>
      <c r="B62" t="inlineStr">
        <is>
          <t>Diciembre</t>
        </is>
      </c>
      <c r="C62" s="5" t="n">
        <v>26723.78</v>
      </c>
      <c r="D62" s="5" t="n">
        <v>4008.57</v>
      </c>
      <c r="E62" s="5" t="n">
        <v>400.86</v>
      </c>
      <c r="F62" s="5" t="n">
        <v>150</v>
      </c>
      <c r="G62" s="5" t="n">
        <v>0</v>
      </c>
      <c r="H62" s="5" t="n">
        <v>550</v>
      </c>
      <c r="I62" s="5" t="n">
        <v>250</v>
      </c>
      <c r="J62" s="5" t="n">
        <v>120</v>
      </c>
      <c r="K62" s="5" t="n">
        <v>30</v>
      </c>
      <c r="L62" s="5" t="n">
        <v>35</v>
      </c>
      <c r="M62" s="5" t="n">
        <v>40</v>
      </c>
      <c r="N62" s="5" t="n">
        <v>25</v>
      </c>
      <c r="O62" s="5" t="n">
        <v>500</v>
      </c>
      <c r="P62" s="5" t="n">
        <v>10</v>
      </c>
      <c r="Q62" s="5">
        <f>SUM(E62:P62)</f>
        <v/>
      </c>
      <c r="R62" s="5">
        <f>D62-Q62</f>
        <v/>
      </c>
      <c r="S62" s="5">
        <f>MAX(0,R62*0.15)</f>
        <v/>
      </c>
      <c r="T62" s="5">
        <f>R62-S62</f>
        <v/>
      </c>
    </row>
  </sheetData>
  <mergeCells count="1">
    <mergeCell ref="A1:T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10" defaultColWidth="9.140625" defaultRowHeight="15"/>
  <cols>
    <col width="28" customWidth="1" style="32" min="1" max="1"/>
    <col width="16" customWidth="1" style="32" min="2" max="2"/>
    <col width="55" customWidth="1" style="32" min="3" max="3"/>
  </cols>
  <sheetData>
    <row r="1">
      <c r="A1" s="38" t="inlineStr">
        <is>
          <t>Parámetro</t>
        </is>
      </c>
      <c r="B1" s="38" t="inlineStr">
        <is>
          <t>Valor</t>
        </is>
      </c>
      <c r="C1" s="38" t="inlineStr">
        <is>
          <t>Comentario</t>
        </is>
      </c>
    </row>
    <row r="2">
      <c r="A2" t="inlineStr">
        <is>
          <t>% comisión</t>
        </is>
      </c>
      <c r="B2" s="3" t="n">
        <v>0.15</v>
      </c>
      <c r="C2" t="inlineStr">
        <is>
          <t>Ingresos SL = GMV × 15%</t>
        </is>
      </c>
    </row>
    <row r="3">
      <c r="A3" t="inlineStr">
        <is>
          <t>IVA referencia</t>
        </is>
      </c>
      <c r="B3" s="3" t="n">
        <v>0.21</v>
      </c>
      <c r="C3" t="inlineStr">
        <is>
          <t>No entra en PyG operativa</t>
        </is>
      </c>
    </row>
    <row r="4">
      <c r="A4" t="inlineStr">
        <is>
          <t>IS orientativo</t>
        </is>
      </c>
      <c r="B4" s="3" t="n">
        <v>0.15</v>
      </c>
      <c r="C4" t="inlineStr">
        <is>
          <t>No es liquidación fiscal</t>
        </is>
      </c>
    </row>
    <row r="5">
      <c r="A5" t="inlineStr">
        <is>
          <t>Escenario de referencia</t>
        </is>
      </c>
      <c r="B5" s="1" t="inlineStr">
        <is>
          <t>CONSERVADOR</t>
        </is>
      </c>
      <c r="C5" t="inlineStr">
        <is>
          <t>PyG Conservador = base memoria/ICECYL</t>
        </is>
      </c>
    </row>
    <row r="6">
      <c r="A6" t="inlineStr">
        <is>
          <t>GMV Y1 conservador</t>
        </is>
      </c>
      <c r="B6" s="5" t="n">
        <v>40000</v>
      </c>
      <c r="C6" t="inlineStr">
        <is>
          <t>→ 6,000 € comisión (6 meses venta)</t>
        </is>
      </c>
    </row>
    <row r="7">
      <c r="A7" t="inlineStr">
        <is>
          <t>GMV Y2 conservador</t>
        </is>
      </c>
      <c r="B7" s="5" t="n">
        <v>140000</v>
      </c>
      <c r="C7" t="inlineStr">
        <is>
          <t>→ 21,000 € comisión</t>
        </is>
      </c>
    </row>
    <row r="8">
      <c r="A8" t="inlineStr">
        <is>
          <t>GMV Y3 conservador</t>
        </is>
      </c>
      <c r="B8" s="5" t="n">
        <v>220000</v>
      </c>
      <c r="C8" t="inlineStr">
        <is>
          <t>→ 33,000 € comisión</t>
        </is>
      </c>
    </row>
    <row r="9">
      <c r="A9" t="inlineStr">
        <is>
          <t>% medios de pago / GMV</t>
        </is>
      </c>
      <c r="B9" s="3" t="n">
        <v>0.015</v>
      </c>
      <c r="C9" t="inlineStr">
        <is>
          <t>Pasarela/Connect orientativo</t>
        </is>
      </c>
    </row>
    <row r="10">
      <c r="A10" t="inlineStr">
        <is>
          <t>Amortización anual</t>
        </is>
      </c>
      <c r="B10" s="5" t="n">
        <v>6000</v>
      </c>
      <c r="C10" t="inlineStr">
        <is>
          <t>30.000/5; en Y1 solo jul–dic</t>
        </is>
      </c>
    </row>
    <row r="11">
      <c r="A11" t="inlineStr">
        <is>
          <t>Inversión referencia</t>
        </is>
      </c>
      <c r="B11" s="5" t="n">
        <v>30000</v>
      </c>
      <c r="C11" t="inlineStr">
        <is>
          <t>Activo tecnológico / umbral ICECYL</t>
        </is>
      </c>
    </row>
    <row r="12">
      <c r="A12" t="inlineStr">
        <is>
          <t>Objetivo dividendos 5 años</t>
        </is>
      </c>
      <c r="B12" s="3" t="n">
        <v>0.15</v>
      </c>
      <c r="C12" t="inlineStr">
        <is>
          <t>≥15% sobre la inversión (además de recuperarla)</t>
        </is>
      </c>
    </row>
    <row r="13">
      <c r="A13" t="inlineStr">
        <is>
          <t>Neto acumulado mínimo</t>
        </is>
      </c>
      <c r="B13" s="5" t="n">
        <v>34500</v>
      </c>
      <c r="C13" t="inlineStr">
        <is>
          <t>Recuperar 30k + 4,5k dividendos</t>
        </is>
      </c>
    </row>
    <row r="14">
      <c r="A14" t="inlineStr">
        <is>
          <t>Compras mercancía</t>
        </is>
      </c>
      <c r="B14" s="5" t="n">
        <v>0</v>
      </c>
      <c r="C14" t="inlineStr">
        <is>
          <t>Intermediación: sin COGS</t>
        </is>
      </c>
    </row>
    <row r="15">
      <c r="A15" t="inlineStr">
        <is>
          <t>Suavizado Y1</t>
        </is>
      </c>
      <c r="B15" s="1" t="inlineStr">
        <is>
          <t>Sí</t>
        </is>
      </c>
      <c r="C15" t="inlineStr">
        <is>
          <t>Amort. y marketing comercial desde lanzamiento; H1 costes mínimos</t>
        </is>
      </c>
    </row>
    <row r="16">
      <c r="B16" s="1" t="n"/>
    </row>
    <row r="17">
      <c r="B17" s="1" t="n"/>
    </row>
    <row r="18">
      <c r="B18" s="3" t="n"/>
    </row>
    <row r="19">
      <c r="B19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10" defaultColWidth="9.140625" defaultRowHeight="15"/>
  <cols>
    <col width="38" customWidth="1" style="32" min="1" max="1"/>
    <col width="14" customWidth="1" style="32" min="2" max="2"/>
    <col width="16" customWidth="1" style="32" min="3" max="3"/>
    <col width="12" customWidth="1" style="32" min="4" max="5"/>
    <col width="12" customWidth="1" style="32" min="5" max="5"/>
    <col width="14" customWidth="1" style="32" min="6" max="6"/>
    <col width="36" customWidth="1" style="32" min="7" max="7"/>
  </cols>
  <sheetData>
    <row r="1" ht="17.25" customHeight="1" s="32">
      <c r="A1" s="44" t="inlineStr">
        <is>
          <t>Drivers (conservador) y punto de equilibrio</t>
        </is>
      </c>
    </row>
    <row r="2"/>
    <row r="3" ht="30" customHeight="1" s="32">
      <c r="A3" s="38" t="inlineStr">
        <is>
          <t>Año</t>
        </is>
      </c>
      <c r="B3" s="38" t="inlineStr">
        <is>
          <t>Vendedores</t>
        </is>
      </c>
      <c r="C3" s="38" t="inlineStr">
        <is>
          <t>GMV €/vend/mes</t>
        </is>
      </c>
      <c r="D3" s="38" t="inlineStr">
        <is>
          <t>Meses venta</t>
        </is>
      </c>
      <c r="E3" s="38" t="inlineStr">
        <is>
          <t>GMV anual</t>
        </is>
      </c>
      <c r="F3" s="38" t="inlineStr">
        <is>
          <t>Ingresos 15%</t>
        </is>
      </c>
    </row>
    <row r="4">
      <c r="A4" t="n">
        <v>1</v>
      </c>
      <c r="B4" t="n">
        <v>5</v>
      </c>
      <c r="C4" s="5" t="n">
        <v>1333.33</v>
      </c>
      <c r="D4" t="n">
        <v>6</v>
      </c>
      <c r="E4" s="5" t="n">
        <v>40000</v>
      </c>
      <c r="F4" s="5" t="n">
        <v>6000</v>
      </c>
    </row>
    <row r="5">
      <c r="A5" s="17" t="n">
        <v>2</v>
      </c>
      <c r="B5" s="17" t="n">
        <v>8</v>
      </c>
      <c r="C5" s="18" t="n">
        <v>1458.33</v>
      </c>
      <c r="D5" s="17" t="n">
        <v>12</v>
      </c>
      <c r="E5" s="18" t="n">
        <v>140000</v>
      </c>
      <c r="F5" s="18" t="n">
        <v>21000</v>
      </c>
      <c r="G5" s="17" t="n"/>
    </row>
    <row r="6">
      <c r="A6" t="n">
        <v>3</v>
      </c>
      <c r="B6" t="n">
        <v>11</v>
      </c>
      <c r="C6" s="5" t="n">
        <v>1666.67</v>
      </c>
      <c r="D6" t="n">
        <v>12</v>
      </c>
      <c r="E6" s="5" t="n">
        <v>220000</v>
      </c>
      <c r="F6" s="5" t="n">
        <v>33000</v>
      </c>
    </row>
    <row r="7">
      <c r="A7" t="n">
        <v>4</v>
      </c>
      <c r="B7" t="n">
        <v>13</v>
      </c>
      <c r="C7" s="5" t="n">
        <v>1794.87</v>
      </c>
      <c r="D7" t="n">
        <v>12</v>
      </c>
      <c r="E7" s="5" t="n">
        <v>280000</v>
      </c>
      <c r="F7" s="5" t="n">
        <v>42000</v>
      </c>
    </row>
    <row r="8">
      <c r="A8" t="n">
        <v>5</v>
      </c>
      <c r="B8" t="n">
        <v>15</v>
      </c>
      <c r="C8" s="5" t="n">
        <v>2000</v>
      </c>
      <c r="D8" t="n">
        <v>12</v>
      </c>
      <c r="E8" s="5" t="n">
        <v>360000</v>
      </c>
      <c r="F8" s="5" t="n">
        <v>54000</v>
      </c>
    </row>
    <row r="9">
      <c r="C9" s="5" t="n"/>
      <c r="E9" s="5" t="n"/>
      <c r="F9" s="5" t="n"/>
    </row>
    <row r="10">
      <c r="A10" s="37" t="inlineStr">
        <is>
          <t>Umbral orientativo Y3+ (con amortización; opex contenido)</t>
        </is>
      </c>
      <c r="C10" s="5" t="n"/>
      <c r="E10" s="5" t="n"/>
      <c r="F10" s="5" t="n"/>
    </row>
    <row r="11">
      <c r="A11" t="inlineStr">
        <is>
          <t>Gastos fijos mensuales ≈</t>
        </is>
      </c>
      <c r="B11" s="5" t="n">
        <v>1710</v>
      </c>
    </row>
    <row r="12">
      <c r="A12" s="7" t="inlineStr">
        <is>
          <t>GMV mínimo mensual (÷15%)</t>
        </is>
      </c>
      <c r="B12" s="5" t="n">
        <v>11400</v>
      </c>
    </row>
    <row r="13">
      <c r="A13" t="inlineStr">
        <is>
          <t>Con 11 vendedores → GMV/vend/mes</t>
        </is>
      </c>
      <c r="B13" s="5" t="n">
        <v>1036.36</v>
      </c>
    </row>
    <row r="14">
      <c r="B14" s="5" t="n"/>
    </row>
    <row r="15">
      <c r="A15" s="37" t="inlineStr">
        <is>
          <t>Objetivo financiero (conservador)</t>
        </is>
      </c>
      <c r="B15" s="5" t="n"/>
    </row>
    <row r="16">
      <c r="A16" t="inlineStr">
        <is>
          <t>Inversión de referencia</t>
        </is>
      </c>
      <c r="B16" s="5" t="n">
        <v>30000</v>
      </c>
    </row>
    <row r="17" ht="45" customHeight="1" s="32">
      <c r="A17" t="inlineStr">
        <is>
          <t>Dividendos mínimos (15%)</t>
        </is>
      </c>
      <c r="B17" s="68" t="n">
        <v>4500</v>
      </c>
    </row>
    <row r="18">
      <c r="A18" t="inlineStr">
        <is>
          <t>Neto acumulado objetivo (5 años)</t>
        </is>
      </c>
      <c r="B18" s="5" t="n">
        <v>34500</v>
      </c>
    </row>
    <row r="19">
      <c r="A19" t="inlineStr">
        <is>
          <t>Neto acumulado proyectado (conservador)</t>
        </is>
      </c>
      <c r="B19" s="5" t="n">
        <v>42438</v>
      </c>
      <c r="C19" t="inlineStr">
        <is>
          <t>OK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:F1"/>
    </sheetView>
  </sheetViews>
  <sheetFormatPr baseColWidth="10" defaultColWidth="9.140625" defaultRowHeight="15"/>
  <cols>
    <col width="14" customWidth="1" style="32" min="1" max="1"/>
    <col width="8" customWidth="1" style="32" min="2" max="2"/>
    <col width="14" customWidth="1" style="32" min="3" max="6"/>
    <col width="14" customWidth="1" style="32" min="4" max="4"/>
    <col width="14" customWidth="1" style="32" min="5" max="5"/>
    <col width="14" customWidth="1" style="32" min="6" max="6"/>
  </cols>
  <sheetData>
    <row r="1" ht="15.75" customHeight="1" s="32">
      <c r="A1" s="45" t="inlineStr">
        <is>
          <t>Comparativa rápida (detalle mensual en PyG Conservador / Realista / Optimista)</t>
        </is>
      </c>
    </row>
    <row r="2"/>
    <row r="3">
      <c r="A3" s="38" t="inlineStr">
        <is>
          <t>Escenario</t>
        </is>
      </c>
      <c r="B3" s="38" t="inlineStr">
        <is>
          <t>Año</t>
        </is>
      </c>
      <c r="C3" s="38" t="inlineStr">
        <is>
          <t>GMV</t>
        </is>
      </c>
      <c r="D3" s="38" t="inlineStr">
        <is>
          <t>Ingresos 15%</t>
        </is>
      </c>
      <c r="E3" s="38" t="inlineStr">
        <is>
          <t>Gastos</t>
        </is>
      </c>
      <c r="F3" s="38" t="inlineStr">
        <is>
          <t>RAI</t>
        </is>
      </c>
    </row>
    <row r="4">
      <c r="A4" s="46" t="inlineStr">
        <is>
          <t>Conservador</t>
        </is>
      </c>
      <c r="B4" s="46" t="n">
        <v>1</v>
      </c>
      <c r="C4" s="47" t="n">
        <v>40000</v>
      </c>
      <c r="D4" s="47" t="n">
        <v>6000</v>
      </c>
      <c r="E4" s="47" t="n">
        <v>10380</v>
      </c>
      <c r="F4" s="47" t="n">
        <v>-4380</v>
      </c>
    </row>
    <row r="5">
      <c r="A5" s="48" t="inlineStr">
        <is>
          <t>Conservador</t>
        </is>
      </c>
      <c r="B5" s="48" t="n">
        <v>2</v>
      </c>
      <c r="C5" s="49" t="n">
        <v>140000</v>
      </c>
      <c r="D5" s="49" t="n">
        <v>21000</v>
      </c>
      <c r="E5" s="49" t="n">
        <v>20460</v>
      </c>
      <c r="F5" s="49" t="n">
        <v>540</v>
      </c>
    </row>
    <row r="6">
      <c r="A6" s="48" t="inlineStr">
        <is>
          <t>Conservador</t>
        </is>
      </c>
      <c r="B6" s="48" t="n">
        <v>3</v>
      </c>
      <c r="C6" s="49" t="n">
        <v>220000</v>
      </c>
      <c r="D6" s="49" t="n">
        <v>33000</v>
      </c>
      <c r="E6" s="49" t="n">
        <v>23820</v>
      </c>
      <c r="F6" s="49" t="n">
        <v>9180</v>
      </c>
    </row>
    <row r="7">
      <c r="A7" s="48" t="inlineStr">
        <is>
          <t>Conservador</t>
        </is>
      </c>
      <c r="B7" s="48" t="n">
        <v>4</v>
      </c>
      <c r="C7" s="49" t="n">
        <v>280000</v>
      </c>
      <c r="D7" s="49" t="n">
        <v>42000</v>
      </c>
      <c r="E7" s="49" t="n">
        <v>24720</v>
      </c>
      <c r="F7" s="49" t="n">
        <v>17280</v>
      </c>
    </row>
    <row r="8">
      <c r="A8" s="48" t="inlineStr">
        <is>
          <t>Conservador</t>
        </is>
      </c>
      <c r="B8" s="48" t="n">
        <v>5</v>
      </c>
      <c r="C8" s="49" t="n">
        <v>360000</v>
      </c>
      <c r="D8" s="49" t="n">
        <v>54000</v>
      </c>
      <c r="E8" s="49" t="n">
        <v>25920</v>
      </c>
      <c r="F8" s="49" t="n">
        <v>28080</v>
      </c>
    </row>
    <row r="9">
      <c r="A9" s="50" t="inlineStr">
        <is>
          <t>Realista</t>
        </is>
      </c>
      <c r="B9" s="50" t="n">
        <v>1</v>
      </c>
      <c r="C9" s="51" t="n">
        <v>75000</v>
      </c>
      <c r="D9" s="51" t="n">
        <v>11250</v>
      </c>
      <c r="E9" s="51" t="n">
        <v>15675</v>
      </c>
      <c r="F9" s="51" t="n">
        <v>-4425</v>
      </c>
    </row>
    <row r="10">
      <c r="A10" s="50" t="inlineStr">
        <is>
          <t>Realista</t>
        </is>
      </c>
      <c r="B10" s="50" t="n">
        <v>2</v>
      </c>
      <c r="C10" s="51" t="n">
        <v>260000</v>
      </c>
      <c r="D10" s="51" t="n">
        <v>39000</v>
      </c>
      <c r="E10" s="51" t="n">
        <v>38820</v>
      </c>
      <c r="F10" s="51" t="n">
        <v>180</v>
      </c>
    </row>
    <row r="11">
      <c r="A11" s="50" t="inlineStr">
        <is>
          <t>Realista</t>
        </is>
      </c>
      <c r="B11" s="50" t="n">
        <v>3</v>
      </c>
      <c r="C11" s="51" t="n">
        <v>400000</v>
      </c>
      <c r="D11" s="51" t="n">
        <v>60000</v>
      </c>
      <c r="E11" s="51" t="n">
        <v>50880</v>
      </c>
      <c r="F11" s="51" t="n">
        <v>9120</v>
      </c>
    </row>
    <row r="12">
      <c r="A12" s="50" t="inlineStr">
        <is>
          <t>Realista</t>
        </is>
      </c>
      <c r="B12" s="50" t="n">
        <v>4</v>
      </c>
      <c r="C12" s="51" t="n">
        <v>520000</v>
      </c>
      <c r="D12" s="51" t="n">
        <v>78000</v>
      </c>
      <c r="E12" s="51" t="n">
        <v>58644</v>
      </c>
      <c r="F12" s="51" t="n">
        <v>19356</v>
      </c>
    </row>
    <row r="13">
      <c r="A13" s="50" t="inlineStr">
        <is>
          <t>Realista</t>
        </is>
      </c>
      <c r="B13" s="50" t="n">
        <v>5</v>
      </c>
      <c r="C13" s="51" t="n">
        <v>680000</v>
      </c>
      <c r="D13" s="51" t="n">
        <v>102000</v>
      </c>
      <c r="E13" s="51" t="n">
        <v>64116</v>
      </c>
      <c r="F13" s="51" t="n">
        <v>37884</v>
      </c>
    </row>
    <row r="14">
      <c r="A14" s="52" t="inlineStr">
        <is>
          <t>Optimista</t>
        </is>
      </c>
      <c r="B14" s="52" t="n">
        <v>1</v>
      </c>
      <c r="C14" s="53" t="n">
        <v>110000</v>
      </c>
      <c r="D14" s="53" t="n">
        <v>16500</v>
      </c>
      <c r="E14" s="53" t="n">
        <v>20010</v>
      </c>
      <c r="F14" s="53" t="n">
        <v>-3510</v>
      </c>
    </row>
    <row r="15">
      <c r="A15" s="52" t="inlineStr">
        <is>
          <t>Optimista</t>
        </is>
      </c>
      <c r="B15" s="52" t="n">
        <v>2</v>
      </c>
      <c r="C15" s="53" t="n">
        <v>400000</v>
      </c>
      <c r="D15" s="53" t="n">
        <v>60000</v>
      </c>
      <c r="E15" s="53" t="n">
        <v>55440</v>
      </c>
      <c r="F15" s="53" t="n">
        <v>4560</v>
      </c>
    </row>
    <row r="16">
      <c r="A16" s="52" t="inlineStr">
        <is>
          <t>Optimista</t>
        </is>
      </c>
      <c r="B16" s="52" t="n">
        <v>3</v>
      </c>
      <c r="C16" s="53" t="n">
        <v>620000</v>
      </c>
      <c r="D16" s="53" t="n">
        <v>93000</v>
      </c>
      <c r="E16" s="53" t="n">
        <v>76776</v>
      </c>
      <c r="F16" s="53" t="n">
        <v>16224</v>
      </c>
    </row>
    <row r="17">
      <c r="A17" s="52" t="inlineStr">
        <is>
          <t>Optimista</t>
        </is>
      </c>
      <c r="B17" s="52" t="n">
        <v>4</v>
      </c>
      <c r="C17" s="53" t="n">
        <v>800000</v>
      </c>
      <c r="D17" s="53" t="n">
        <v>120000</v>
      </c>
      <c r="E17" s="53" t="n">
        <v>94404</v>
      </c>
      <c r="F17" s="53" t="n">
        <v>25596</v>
      </c>
    </row>
    <row r="18">
      <c r="A18" s="52" t="inlineStr">
        <is>
          <t>Optimista</t>
        </is>
      </c>
      <c r="B18" s="52" t="n">
        <v>5</v>
      </c>
      <c r="C18" s="53" t="n">
        <v>1050000</v>
      </c>
      <c r="D18" s="53" t="n">
        <v>157500</v>
      </c>
      <c r="E18" s="53" t="n">
        <v>111186</v>
      </c>
      <c r="F18" s="53" t="n">
        <v>46314</v>
      </c>
    </row>
    <row r="19">
      <c r="C19" s="5" t="n"/>
      <c r="D19" s="5" t="n"/>
      <c r="E19" s="5" t="n"/>
      <c r="F19" s="5" t="n"/>
    </row>
    <row r="20"/>
    <row r="21"/>
    <row r="22">
      <c r="A22" s="7" t="n"/>
    </row>
    <row r="23" ht="50.1" customHeight="1" s="32">
      <c r="A23" s="34" t="n"/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:H1"/>
    </sheetView>
  </sheetViews>
  <sheetFormatPr baseColWidth="10" defaultColWidth="9.140625" defaultRowHeight="15"/>
  <cols>
    <col width="14" customWidth="1" style="32" min="1" max="8"/>
    <col width="14" customWidth="1" style="32" min="2" max="2"/>
    <col width="14" customWidth="1" style="32" min="3" max="3"/>
    <col width="14" customWidth="1" style="32" min="4" max="4"/>
    <col width="14" customWidth="1" style="32" min="5" max="5"/>
    <col width="14" customWidth="1" style="32" min="6" max="6"/>
    <col width="14" customWidth="1" style="32" min="7" max="7"/>
    <col width="14" customWidth="1" style="32" min="8" max="8"/>
  </cols>
  <sheetData>
    <row r="1">
      <c r="A1" s="54" t="inlineStr">
        <is>
          <t>Resumen anual — tres escenarios (ingresos = GMV × 15%)</t>
        </is>
      </c>
    </row>
    <row r="2">
      <c r="B2" s="5" t="n"/>
      <c r="C2" s="5" t="n"/>
      <c r="D2" s="5" t="n"/>
      <c r="E2" s="5" t="n"/>
      <c r="F2" s="5" t="n"/>
      <c r="G2" s="5" t="n"/>
      <c r="H2" s="3" t="n"/>
    </row>
    <row r="3">
      <c r="A3" s="55" t="inlineStr">
        <is>
          <t>🔴 Conservador (referencia)</t>
        </is>
      </c>
      <c r="B3" s="5" t="n"/>
      <c r="C3" s="5" t="n"/>
      <c r="D3" s="5" t="n"/>
      <c r="E3" s="5" t="n"/>
      <c r="F3" s="5" t="n"/>
      <c r="G3" s="5" t="n"/>
      <c r="H3" s="3" t="n"/>
    </row>
    <row r="4">
      <c r="A4" s="38" t="inlineStr">
        <is>
          <t>Año</t>
        </is>
      </c>
      <c r="B4" s="43" t="inlineStr">
        <is>
          <t>GMV</t>
        </is>
      </c>
      <c r="C4" s="43" t="inlineStr">
        <is>
          <t>Ingresos 15%</t>
        </is>
      </c>
      <c r="D4" s="43" t="inlineStr">
        <is>
          <t>Total gastos</t>
        </is>
      </c>
      <c r="E4" s="43" t="inlineStr">
        <is>
          <t>RAI</t>
        </is>
      </c>
      <c r="F4" s="43" t="inlineStr">
        <is>
          <t>IS</t>
        </is>
      </c>
      <c r="G4" s="43" t="inlineStr">
        <is>
          <t>Neto</t>
        </is>
      </c>
      <c r="H4" s="56" t="inlineStr">
        <is>
          <t>Margen neto</t>
        </is>
      </c>
    </row>
    <row r="5">
      <c r="A5" s="48" t="n">
        <v>1</v>
      </c>
      <c r="B5" s="49" t="n">
        <v>40000</v>
      </c>
      <c r="C5" s="49" t="n">
        <v>6000</v>
      </c>
      <c r="D5" s="49" t="n">
        <v>10379.99</v>
      </c>
      <c r="E5" s="49" t="n">
        <v>-4379.99</v>
      </c>
      <c r="F5" s="49" t="n">
        <v>0</v>
      </c>
      <c r="G5" s="49" t="n">
        <v>-4379.99</v>
      </c>
      <c r="H5" s="57" t="n">
        <v>-0.7299983333333333</v>
      </c>
    </row>
    <row r="6">
      <c r="A6" s="48" t="n">
        <v>2</v>
      </c>
      <c r="B6" s="49" t="n">
        <v>139999.99</v>
      </c>
      <c r="C6" s="49" t="n">
        <v>21000.01</v>
      </c>
      <c r="D6" s="49" t="n">
        <v>20460.01</v>
      </c>
      <c r="E6" s="49" t="n">
        <v>540</v>
      </c>
      <c r="F6" s="49" t="n">
        <v>81</v>
      </c>
      <c r="G6" s="49" t="n">
        <v>459</v>
      </c>
      <c r="H6" s="57" t="n">
        <v>0.02185713244898469</v>
      </c>
    </row>
    <row r="7">
      <c r="A7" s="48" t="n">
        <v>3</v>
      </c>
      <c r="B7" s="49" t="n">
        <v>220000.01</v>
      </c>
      <c r="C7" s="49" t="n">
        <v>33000</v>
      </c>
      <c r="D7" s="49" t="n">
        <v>23820.01</v>
      </c>
      <c r="E7" s="49" t="n">
        <v>9179.99</v>
      </c>
      <c r="F7" s="49" t="n">
        <v>1377</v>
      </c>
      <c r="G7" s="49" t="n">
        <v>7802.99</v>
      </c>
      <c r="H7" s="57" t="n">
        <v>0.2364542878787878</v>
      </c>
    </row>
    <row r="8" ht="39.95" customHeight="1" s="32">
      <c r="A8" s="48" t="n">
        <v>4</v>
      </c>
      <c r="B8" s="58" t="n">
        <v>280000</v>
      </c>
      <c r="C8" s="49" t="n">
        <v>41999.99</v>
      </c>
      <c r="D8" s="49" t="n">
        <v>24720.01</v>
      </c>
      <c r="E8" s="49" t="n">
        <v>17279.98</v>
      </c>
      <c r="F8" s="49" t="n">
        <v>2592</v>
      </c>
      <c r="G8" s="49" t="n">
        <v>14687.98</v>
      </c>
      <c r="H8" s="57" t="n">
        <v>0.3497139642176106</v>
      </c>
    </row>
    <row r="9">
      <c r="A9" s="48" t="n">
        <v>5</v>
      </c>
      <c r="B9" s="49" t="n">
        <v>360000</v>
      </c>
      <c r="C9" s="49" t="n">
        <v>54000.01</v>
      </c>
      <c r="D9" s="49" t="n">
        <v>25920</v>
      </c>
      <c r="E9" s="49" t="n">
        <v>28080.01</v>
      </c>
      <c r="F9" s="49" t="n">
        <v>4212</v>
      </c>
      <c r="G9" s="49" t="n">
        <v>23868.01</v>
      </c>
      <c r="H9" s="57" t="n">
        <v>0.4420000755555417</v>
      </c>
    </row>
    <row r="10"/>
    <row r="11"/>
    <row r="12">
      <c r="A12" s="59" t="inlineStr">
        <is>
          <t>🟡 Realista (hipótesis)</t>
        </is>
      </c>
    </row>
    <row r="13">
      <c r="A13" s="38" t="inlineStr">
        <is>
          <t>Año</t>
        </is>
      </c>
      <c r="B13" s="38" t="inlineStr">
        <is>
          <t>GMV</t>
        </is>
      </c>
      <c r="C13" s="38" t="inlineStr">
        <is>
          <t>Ingresos 15%</t>
        </is>
      </c>
      <c r="D13" s="38" t="inlineStr">
        <is>
          <t>Total gastos</t>
        </is>
      </c>
      <c r="E13" s="38" t="inlineStr">
        <is>
          <t>RAI</t>
        </is>
      </c>
      <c r="F13" s="38" t="inlineStr">
        <is>
          <t>IS</t>
        </is>
      </c>
      <c r="G13" s="38" t="inlineStr">
        <is>
          <t>Neto</t>
        </is>
      </c>
      <c r="H13" s="38" t="inlineStr">
        <is>
          <t>Margen neto</t>
        </is>
      </c>
    </row>
    <row r="14">
      <c r="A14" s="50" t="n">
        <v>1</v>
      </c>
      <c r="B14" s="51" t="n">
        <v>74999.99000000001</v>
      </c>
      <c r="C14" s="51" t="n">
        <v>11249.99</v>
      </c>
      <c r="D14" s="51" t="n">
        <v>15674.99</v>
      </c>
      <c r="E14" s="51" t="n">
        <v>-4425</v>
      </c>
      <c r="F14" s="51" t="n">
        <v>0</v>
      </c>
      <c r="G14" s="51" t="n">
        <v>-4425</v>
      </c>
      <c r="H14" s="60" t="n">
        <v>-0.3933336829632741</v>
      </c>
    </row>
    <row r="15">
      <c r="A15" s="50" t="n">
        <v>2</v>
      </c>
      <c r="B15" s="51" t="n">
        <v>260000.01</v>
      </c>
      <c r="C15" s="51" t="n">
        <v>38999.99</v>
      </c>
      <c r="D15" s="51" t="n">
        <v>38820.01</v>
      </c>
      <c r="E15" s="51" t="n">
        <v>179.98</v>
      </c>
      <c r="F15" s="51" t="n">
        <v>27</v>
      </c>
      <c r="G15" s="51" t="n">
        <v>152.98</v>
      </c>
      <c r="H15" s="60" t="n">
        <v>0.003922642031446428</v>
      </c>
    </row>
    <row r="16">
      <c r="A16" s="50" t="n">
        <v>3</v>
      </c>
      <c r="B16" s="51" t="n">
        <v>399999.99</v>
      </c>
      <c r="C16" s="51" t="n">
        <v>59999.99</v>
      </c>
      <c r="D16" s="51" t="n">
        <v>50880.01</v>
      </c>
      <c r="E16" s="51" t="n">
        <v>9119.98</v>
      </c>
      <c r="F16" s="51" t="n">
        <v>1368</v>
      </c>
      <c r="G16" s="51" t="n">
        <v>7751.98</v>
      </c>
      <c r="H16" s="60" t="n">
        <v>0.1291997381999563</v>
      </c>
    </row>
    <row r="17">
      <c r="A17" s="50" t="n">
        <v>4</v>
      </c>
      <c r="B17" s="51" t="n">
        <v>519999.99</v>
      </c>
      <c r="C17" s="51" t="n">
        <v>78000.00999999999</v>
      </c>
      <c r="D17" s="51" t="n">
        <v>58643.98</v>
      </c>
      <c r="E17" s="51" t="n">
        <v>19356.03</v>
      </c>
      <c r="F17" s="51" t="n">
        <v>2903.4</v>
      </c>
      <c r="G17" s="51" t="n">
        <v>16452.63</v>
      </c>
      <c r="H17" s="60" t="n">
        <v>0.2109310691114012</v>
      </c>
    </row>
    <row r="18">
      <c r="A18" s="50" t="n">
        <v>5</v>
      </c>
      <c r="B18" s="51" t="n">
        <v>680000</v>
      </c>
      <c r="C18" s="51" t="n">
        <v>102000.01</v>
      </c>
      <c r="D18" s="51" t="n">
        <v>64115.99</v>
      </c>
      <c r="E18" s="51" t="n">
        <v>37884.02</v>
      </c>
      <c r="F18" s="51" t="n">
        <v>5682.6</v>
      </c>
      <c r="G18" s="51" t="n">
        <v>32201.42</v>
      </c>
      <c r="H18" s="60" t="n">
        <v>0.3157001357156731</v>
      </c>
    </row>
    <row r="19"/>
    <row r="20"/>
    <row r="21">
      <c r="A21" s="61" t="inlineStr">
        <is>
          <t>🟢 Optimista (hipótesis)</t>
        </is>
      </c>
    </row>
    <row r="22">
      <c r="A22" s="38" t="inlineStr">
        <is>
          <t>Año</t>
        </is>
      </c>
      <c r="B22" s="38" t="inlineStr">
        <is>
          <t>GMV</t>
        </is>
      </c>
      <c r="C22" s="38" t="inlineStr">
        <is>
          <t>Ingresos 15%</t>
        </is>
      </c>
      <c r="D22" s="38" t="inlineStr">
        <is>
          <t>Total gastos</t>
        </is>
      </c>
      <c r="E22" s="38" t="inlineStr">
        <is>
          <t>RAI</t>
        </is>
      </c>
      <c r="F22" s="38" t="inlineStr">
        <is>
          <t>IS</t>
        </is>
      </c>
      <c r="G22" s="38" t="inlineStr">
        <is>
          <t>Neto</t>
        </is>
      </c>
      <c r="H22" s="38" t="inlineStr">
        <is>
          <t>Margen neto</t>
        </is>
      </c>
    </row>
    <row r="23">
      <c r="A23" s="52" t="n">
        <v>1</v>
      </c>
      <c r="B23" s="53" t="n">
        <v>110000</v>
      </c>
      <c r="C23" s="53" t="n">
        <v>16500</v>
      </c>
      <c r="D23" s="53" t="n">
        <v>20010</v>
      </c>
      <c r="E23" s="53" t="n">
        <v>-3510</v>
      </c>
      <c r="F23" s="53" t="n">
        <v>0</v>
      </c>
      <c r="G23" s="53" t="n">
        <v>-3510</v>
      </c>
      <c r="H23" s="62" t="n">
        <v>-0.2127272727272725</v>
      </c>
    </row>
    <row r="24">
      <c r="A24" s="52" t="n">
        <v>2</v>
      </c>
      <c r="B24" s="53" t="n">
        <v>399999.99</v>
      </c>
      <c r="C24" s="53" t="n">
        <v>59999.99</v>
      </c>
      <c r="D24" s="53" t="n">
        <v>55440.01</v>
      </c>
      <c r="E24" s="53" t="n">
        <v>4559.98</v>
      </c>
      <c r="F24" s="53" t="n">
        <v>684</v>
      </c>
      <c r="G24" s="53" t="n">
        <v>3875.98</v>
      </c>
      <c r="H24" s="62" t="n">
        <v>0.06459972743328785</v>
      </c>
    </row>
    <row r="25">
      <c r="A25" s="52" t="n">
        <v>3</v>
      </c>
      <c r="B25" s="53" t="n">
        <v>619999.98</v>
      </c>
      <c r="C25" s="53" t="n">
        <v>92999.99000000001</v>
      </c>
      <c r="D25" s="53" t="n">
        <v>76776</v>
      </c>
      <c r="E25" s="53" t="n">
        <v>16223.99</v>
      </c>
      <c r="F25" s="53" t="n">
        <v>2433.6</v>
      </c>
      <c r="G25" s="53" t="n">
        <v>13790.39</v>
      </c>
      <c r="H25" s="62" t="n">
        <v>0.1482837955143867</v>
      </c>
    </row>
    <row r="26">
      <c r="A26" s="52" t="n">
        <v>4</v>
      </c>
      <c r="B26" s="53" t="n">
        <v>800000</v>
      </c>
      <c r="C26" s="53" t="n">
        <v>120000.02</v>
      </c>
      <c r="D26" s="53" t="n">
        <v>94403.99000000001</v>
      </c>
      <c r="E26" s="53" t="n">
        <v>25596.03</v>
      </c>
      <c r="F26" s="53" t="n">
        <v>3839.4</v>
      </c>
      <c r="G26" s="53" t="n">
        <v>21756.63</v>
      </c>
      <c r="H26" s="62" t="n">
        <v>0.1813051822824698</v>
      </c>
    </row>
    <row r="27">
      <c r="A27" s="52" t="n">
        <v>5</v>
      </c>
      <c r="B27" s="53" t="n">
        <v>1050000.01</v>
      </c>
      <c r="C27" s="53" t="n">
        <v>157500.01</v>
      </c>
      <c r="D27" s="53" t="n">
        <v>111185.98</v>
      </c>
      <c r="E27" s="53" t="n">
        <v>46314.03</v>
      </c>
      <c r="F27" s="53" t="n">
        <v>6947.1</v>
      </c>
      <c r="G27" s="53" t="n">
        <v>39366.93</v>
      </c>
      <c r="H27" s="62" t="n">
        <v>0.2499487174635734</v>
      </c>
    </row>
    <row r="28"/>
    <row r="29"/>
    <row r="30" ht="40" customHeight="1" s="32">
      <c r="A30" s="34" t="inlineStr">
        <is>
          <t>Y1 suavizado en conservador: amortización solo desde julio (capitalización en lanzamiento); marketing comercial en H2; H1 = estructura mínima. Detalle mes a mes en hojas PyG Conservador / Realista / Optimista.</t>
        </is>
      </c>
    </row>
  </sheetData>
  <mergeCells count="2">
    <mergeCell ref="A30:H30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10" defaultColWidth="9.140625" defaultRowHeight="15"/>
  <cols>
    <col width="12" customWidth="1" style="32" min="1" max="1"/>
    <col width="34" customWidth="1" style="32" min="2" max="2"/>
    <col width="24" customWidth="1" style="32" min="3" max="3"/>
    <col width="75" customWidth="1" style="32" min="4" max="4"/>
  </cols>
  <sheetData>
    <row r="1">
      <c r="A1" s="2" t="inlineStr">
        <is>
          <t>Grupo</t>
        </is>
      </c>
      <c r="B1" s="2" t="inlineStr">
        <is>
          <t>Partida</t>
        </is>
      </c>
      <c r="C1" s="2" t="inlineStr">
        <is>
          <t>Tratamiento en PyG</t>
        </is>
      </c>
      <c r="D1" s="2" t="inlineStr">
        <is>
          <t>Observaciones</t>
        </is>
      </c>
    </row>
    <row r="2">
      <c r="A2" t="inlineStr">
        <is>
          <t>6</t>
        </is>
      </c>
      <c r="B2" t="inlineStr">
        <is>
          <t>Personal / Seguridad Social</t>
        </is>
      </c>
      <c r="C2" t="inlineStr">
        <is>
          <t>Gasto</t>
        </is>
      </c>
      <c r="D2" t="inlineStr">
        <is>
          <t>Nóminas, seguros sociales y otros costes de personal</t>
        </is>
      </c>
    </row>
    <row r="3">
      <c r="A3" t="inlineStr">
        <is>
          <t>62</t>
        </is>
      </c>
      <c r="B3" t="inlineStr">
        <is>
          <t>Servicios exteriores</t>
        </is>
      </c>
      <c r="C3" t="inlineStr">
        <is>
          <t>Gasto</t>
        </is>
      </c>
      <c r="D3" t="inlineStr">
        <is>
          <t>Hosting, software, gestoría, seguros, marketing, suministros, etc.</t>
        </is>
      </c>
    </row>
    <row r="4">
      <c r="A4" t="inlineStr">
        <is>
          <t>62</t>
        </is>
      </c>
      <c r="B4" t="inlineStr">
        <is>
          <t>Transportes / logística</t>
        </is>
      </c>
      <c r="C4" t="inlineStr">
        <is>
          <t>Gasto</t>
        </is>
      </c>
      <c r="D4" t="inlineStr">
        <is>
          <t>Solo si los soporta la sociedad; si los paga el vendedor, no duplicar</t>
        </is>
      </c>
    </row>
    <row r="5">
      <c r="A5" t="inlineStr">
        <is>
          <t>62</t>
        </is>
      </c>
      <c r="B5" t="inlineStr">
        <is>
          <t>Servicios profesionales</t>
        </is>
      </c>
      <c r="C5" t="inlineStr">
        <is>
          <t>Gasto</t>
        </is>
      </c>
      <c r="D5" t="inlineStr">
        <is>
          <t>Asesoría jurídica, fiscal, consultoría, desarrollo externalizado, etc.</t>
        </is>
      </c>
    </row>
    <row r="6">
      <c r="A6" t="inlineStr">
        <is>
          <t>62</t>
        </is>
      </c>
      <c r="B6" t="inlineStr">
        <is>
          <t>Publicidad y marketing</t>
        </is>
      </c>
      <c r="C6" t="inlineStr">
        <is>
          <t>Gasto</t>
        </is>
      </c>
      <c r="D6" t="inlineStr">
        <is>
          <t>Campañas, contenidos y promoción</t>
        </is>
      </c>
    </row>
    <row r="7">
      <c r="A7" t="inlineStr">
        <is>
          <t>62</t>
        </is>
      </c>
      <c r="B7" t="inlineStr">
        <is>
          <t>Reparaciones y mantenimiento</t>
        </is>
      </c>
      <c r="C7" t="inlineStr">
        <is>
          <t>Gasto</t>
        </is>
      </c>
      <c r="D7" t="inlineStr">
        <is>
          <t>Mantenimiento de equipos/plataforma</t>
        </is>
      </c>
    </row>
    <row r="8">
      <c r="A8" t="inlineStr">
        <is>
          <t>62</t>
        </is>
      </c>
      <c r="B8" t="inlineStr">
        <is>
          <t>Tributos</t>
        </is>
      </c>
      <c r="C8" t="inlineStr">
        <is>
          <t>Gasto</t>
        </is>
      </c>
      <c r="D8" t="inlineStr">
        <is>
          <t>Tasas y tributos que no sean impuesto sobre beneficios</t>
        </is>
      </c>
    </row>
    <row r="9">
      <c r="A9" t="inlineStr">
        <is>
          <t>63</t>
        </is>
      </c>
      <c r="B9" t="inlineStr">
        <is>
          <t>Impuestos</t>
        </is>
      </c>
      <c r="C9" t="inlineStr">
        <is>
          <t>Gasto</t>
        </is>
      </c>
      <c r="D9" t="inlineStr">
        <is>
          <t>Impuestos no recuperables y otros tributos según corresponda</t>
        </is>
      </c>
    </row>
    <row r="10">
      <c r="A10" t="inlineStr">
        <is>
          <t>66</t>
        </is>
      </c>
      <c r="B10" t="inlineStr">
        <is>
          <t>Gastos financieros</t>
        </is>
      </c>
      <c r="C10" t="inlineStr">
        <is>
          <t>Gasto</t>
        </is>
      </c>
      <c r="D10" t="inlineStr">
        <is>
          <t>Intereses y costes financieros</t>
        </is>
      </c>
    </row>
    <row r="11">
      <c r="A11" t="inlineStr">
        <is>
          <t>68</t>
        </is>
      </c>
      <c r="B11" t="inlineStr">
        <is>
          <t>Amortización del inmovilizado</t>
        </is>
      </c>
      <c r="C11" t="inlineStr">
        <is>
          <t>Gasto</t>
        </is>
      </c>
      <c r="D11" t="inlineStr">
        <is>
          <t>Activos materiales e inmateriales amortizables</t>
        </is>
      </c>
    </row>
    <row r="12">
      <c r="A12" t="inlineStr">
        <is>
          <t>70/75</t>
        </is>
      </c>
      <c r="B12" t="inlineStr">
        <is>
          <t>Ingresos por comisiones</t>
        </is>
      </c>
      <c r="C12" t="inlineStr">
        <is>
          <t>Ingreso</t>
        </is>
      </c>
      <c r="D12" t="inlineStr">
        <is>
          <t>15% sobre facturación/GMV de vendedores, según contrato y modelo real</t>
        </is>
      </c>
    </row>
    <row r="13">
      <c r="A13" t="inlineStr">
        <is>
          <t>47</t>
        </is>
      </c>
      <c r="B13" t="inlineStr">
        <is>
          <t>IVA</t>
        </is>
      </c>
      <c r="C13" t="inlineStr">
        <is>
          <t>Balance, no PyG en general</t>
        </is>
      </c>
      <c r="D13" t="inlineStr">
        <is>
          <t>El IVA repercutido/soportado no debe confundirse con ingreso/gasto salvo no deducibilidad</t>
        </is>
      </c>
    </row>
    <row r="14">
      <c r="A14" t="inlineStr">
        <is>
          <t>47</t>
        </is>
      </c>
      <c r="B14" t="inlineStr">
        <is>
          <t>Impuesto sobre Sociedades</t>
        </is>
      </c>
      <c r="C14" t="inlineStr">
        <is>
          <t>Gasto</t>
        </is>
      </c>
      <c r="D14" t="inlineStr">
        <is>
          <t>Se registra sobre el resultado fiscal, no simplemente como % del beneficio contable</t>
        </is>
      </c>
    </row>
    <row r="15">
      <c r="A15" t="inlineStr">
        <is>
          <t>13/12</t>
        </is>
      </c>
      <c r="B15" t="inlineStr">
        <is>
          <t>Subvenciones</t>
        </is>
      </c>
      <c r="C15" t="inlineStr">
        <is>
          <t>Depende</t>
        </is>
      </c>
      <c r="D15" t="inlineStr">
        <is>
          <t>El tratamiento depende de la naturaleza de la ayuda y de su imputación contable</t>
        </is>
      </c>
    </row>
    <row r="16">
      <c r="A16" t="inlineStr">
        <is>
          <t>—</t>
        </is>
      </c>
      <c r="B16" t="inlineStr">
        <is>
          <t>Compras de mercaderías</t>
        </is>
      </c>
      <c r="C16" t="inlineStr">
        <is>
          <t>No aplica (modelo inicial)</t>
        </is>
      </c>
      <c r="D16" t="inlineStr">
        <is>
          <t>Marketplace intermediación: stock y venta son del vendedor.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10" defaultColWidth="9.140625" defaultRowHeight="15"/>
  <cols>
    <col width="22" customWidth="1" style="32" min="1" max="1"/>
    <col width="100" customWidth="1" style="32" min="2" max="2"/>
  </cols>
  <sheetData>
    <row r="1">
      <c r="A1" s="38" t="inlineStr">
        <is>
          <t>Tema</t>
        </is>
      </c>
      <c r="B1" s="38" t="inlineStr">
        <is>
          <t>Criterio</t>
        </is>
      </c>
    </row>
    <row r="2">
      <c r="A2" s="4" t="inlineStr">
        <is>
          <t>GMV</t>
        </is>
      </c>
      <c r="B2" s="34" t="inlineStr">
        <is>
          <t>No es ingreso de la SL.</t>
        </is>
      </c>
    </row>
    <row r="3">
      <c r="A3" s="4" t="inlineStr">
        <is>
          <t>Ingresos</t>
        </is>
      </c>
      <c r="B3" s="34" t="inlineStr">
        <is>
          <t>15% comisión sobre GMV.</t>
        </is>
      </c>
    </row>
    <row r="4">
      <c r="A4" s="4" t="inlineStr">
        <is>
          <t>Y1 suavizado</t>
        </is>
      </c>
      <c r="B4" s="34" t="inlineStr">
        <is>
          <t>Amortización y marketing comercial desde julio; H1 costes mínimos de estructura.</t>
        </is>
      </c>
    </row>
    <row r="5">
      <c r="A5" s="4" t="inlineStr">
        <is>
          <t>3 PyG</t>
        </is>
      </c>
      <c r="B5" s="34" t="inlineStr">
        <is>
          <t>Conservador = referencia. Realista/Optimista = sensibilidad mensual completa.</t>
        </is>
      </c>
    </row>
    <row r="6">
      <c r="A6" s="4" t="inlineStr">
        <is>
          <t>Compras</t>
        </is>
      </c>
      <c r="B6" s="34" t="inlineStr">
        <is>
          <t>0 € — sin reventa de stock.</t>
        </is>
      </c>
    </row>
    <row r="7">
      <c r="A7" s="4" t="inlineStr">
        <is>
          <t>IS/IVA</t>
        </is>
      </c>
      <c r="B7" s="34" t="inlineStr">
        <is>
          <t>IS orientativo; IVA fuera de PyG.</t>
        </is>
      </c>
    </row>
    <row r="8">
      <c r="A8" s="4" t="inlineStr">
        <is>
          <t>Subvenciones</t>
        </is>
      </c>
      <c r="B8" s="34" t="inlineStr">
        <is>
          <t>No incluidas como ingreso de explotación.</t>
        </is>
      </c>
    </row>
    <row r="9">
      <c r="A9" s="4" t="inlineStr">
        <is>
          <t>Dashboard</t>
        </is>
      </c>
      <c r="B9" s="34" t="inlineStr">
        <is>
          <t>Abrir hoja 00_KPI_Dashboard: gráficos dinámicos desde KPI_Datos / PyG.</t>
        </is>
      </c>
    </row>
    <row r="10">
      <c r="A10" s="4" t="n"/>
      <c r="B10" s="34" t="n"/>
    </row>
    <row r="11">
      <c r="B11" s="34" t="n"/>
    </row>
    <row r="12">
      <c r="B12" s="34" t="n"/>
    </row>
    <row r="13">
      <c r="B13" s="3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2026-08-20T08:28:44Z</dcterms:created>
  <dcterms:modified xmlns:dcterms="http://purl.org/dc/terms/" xmlns:xsi="http://www.w3.org/2001/XMLSchema-instance" xsi:type="dcterms:W3CDTF">2026-08-20T12:57:38Z</dcterms:modified>
  <cp:lastModifiedBy>José Antonio Gracia Cobacho</cp:lastModifiedBy>
</cp:coreProperties>
</file>